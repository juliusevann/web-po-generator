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<sst xmlns="http://schemas.openxmlformats.org/spreadsheetml/2006/main" count="192" uniqueCount="55">
  <si>
    <t>Type</t>
  </si>
  <si>
    <t>No..</t>
  </si>
  <si>
    <t>Currency</t>
  </si>
  <si>
    <t>Date</t>
  </si>
  <si>
    <t>Supplier</t>
  </si>
  <si>
    <t>Barcode</t>
  </si>
  <si>
    <t>BRAND</t>
  </si>
  <si>
    <t>DEPARTMENT</t>
  </si>
  <si>
    <t>Item code</t>
  </si>
  <si>
    <t>Item</t>
  </si>
  <si>
    <t>Description</t>
  </si>
  <si>
    <t>Quantity</t>
  </si>
  <si>
    <t>Document delivery date.</t>
  </si>
  <si>
    <t>PU. HT net</t>
  </si>
  <si>
    <t>Tax excl. amount</t>
  </si>
  <si>
    <t>Store</t>
  </si>
  <si>
    <t>Creator</t>
  </si>
  <si>
    <t>Internal reference - document.</t>
  </si>
  <si>
    <t>Picture</t>
  </si>
  <si>
    <t>Colour</t>
  </si>
  <si>
    <t>Size</t>
  </si>
  <si>
    <t>Conversion rate / Folder currency</t>
  </si>
  <si>
    <t>Tax excl. base unit price - line</t>
  </si>
  <si>
    <t>MATERIAL Document line</t>
  </si>
  <si>
    <t>CF</t>
  </si>
  <si>
    <t>USD</t>
  </si>
  <si>
    <t>EDE</t>
  </si>
  <si>
    <t>EB</t>
  </si>
  <si>
    <t>LDS</t>
  </si>
  <si>
    <t>263EB454</t>
  </si>
  <si>
    <t>ATELIER3</t>
  </si>
  <si>
    <t>ATELIER3 CHARCOAL_BLACK 37</t>
  </si>
  <si>
    <t>CWH</t>
  </si>
  <si>
    <t>002</t>
  </si>
  <si>
    <t>WINTER 2026</t>
  </si>
  <si>
    <t>CHARCOAL_BLACK</t>
  </si>
  <si>
    <t>37</t>
  </si>
  <si>
    <t>LEATHER</t>
  </si>
  <si>
    <t>ATELIER3 CHARCOAL_BLACK 35</t>
  </si>
  <si>
    <t>35</t>
  </si>
  <si>
    <t>ATELIER3 CHARCOAL_BLACK 38</t>
  </si>
  <si>
    <t>38</t>
  </si>
  <si>
    <t>ATELIER3 CHARCOAL_BLACK 36</t>
  </si>
  <si>
    <t>36</t>
  </si>
  <si>
    <t>ATELIER3 CHARCOAL_BLACK 40</t>
  </si>
  <si>
    <t>40</t>
  </si>
  <si>
    <t>ATELIER3 CHARCOAL_BLACK 39</t>
  </si>
  <si>
    <t>39</t>
  </si>
  <si>
    <t>ATELIER3 RUSTIC_BROWN 37</t>
  </si>
  <si>
    <t>RUSTIC_BROWN</t>
  </si>
  <si>
    <t>ATELIER3 RUSTIC_BROWN 35</t>
  </si>
  <si>
    <t>ATELIER3 RUSTIC_BROWN 38</t>
  </si>
  <si>
    <t>ATELIER3 RUSTIC_BROWN 36</t>
  </si>
  <si>
    <t>ATELIER3 RUSTIC_BROWN 40</t>
  </si>
  <si>
    <t>ATELIER3 RUSTIC_BROWN 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</si>
</sst>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##0"/>
    <numFmt numFmtId="179" formatCode="mm/dd/yyyy"/>
  </numFmts>
  <fonts count="21">
    <font>
      <sz val="11"/>
      <color rgb="FF000000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 applyFill="1" applyBorder="1" applyAlignment="1"/>
    <xf numFmtId="178" fontId="0" fillId="0" borderId="0" xfId="0" applyNumberFormat="1"/>
    <xf numFmtId="179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tabSelected="1" workbookViewId="0">
      <selection activeCell="A1" sqref="A1"/>
    </sheetView>
  </sheetViews>
  <sheetFormatPr defaultColWidth="10.2857142857143" defaultRowHeight="15"/>
  <cols>
    <col min="1" max="1" width="5.65714285714286" customWidth="1"/>
    <col min="2" max="2" width="6.65714285714286" customWidth="1"/>
    <col min="3" max="3" width="9.65714285714286" customWidth="1"/>
    <col min="4" max="4" width="11.6571428571429" customWidth="1"/>
    <col min="5" max="5" width="9.65714285714286" customWidth="1"/>
    <col min="6" max="6" width="16.6571428571429" customWidth="1"/>
    <col min="7" max="7" width="6.65714285714286" customWidth="1"/>
    <col min="8" max="8" width="11.6571428571429" customWidth="1"/>
    <col min="9" max="9" width="10.6571428571429" customWidth="1"/>
    <col min="10" max="10" width="9.65714285714286" customWidth="1"/>
    <col min="11" max="11" width="27.6571428571429" customWidth="1"/>
    <col min="12" max="12" width="9.65714285714286" customWidth="1"/>
    <col min="13" max="13" width="24.6571428571429" customWidth="1"/>
    <col min="14" max="14" width="11.6571428571429" customWidth="1"/>
    <col min="15" max="15" width="17.6571428571429" customWidth="1"/>
    <col min="16" max="16" width="6.65714285714286" customWidth="1"/>
    <col min="17" max="17" width="8.65714285714286" customWidth="1"/>
    <col min="18" max="18" width="31.6571428571429" customWidth="1"/>
    <col min="19" max="19" width="11.6571428571429" customWidth="1"/>
    <col min="20" max="20" width="15.6571428571429" customWidth="1"/>
    <col min="21" max="21" width="5.65714285714286" customWidth="1"/>
    <col min="22" max="22" width="34.6571428571429" customWidth="1"/>
    <col min="23" max="23" width="33.6571428571429" customWidth="1"/>
    <col min="24" max="24" width="23.6571428571429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s="1">
        <v>10446</v>
      </c>
      <c r="C2" t="s">
        <v>25</v>
      </c>
      <c r="D2" s="2">
        <f t="shared" ref="D2:D13" si="0">46262</f>
        <v>46262</v>
      </c>
      <c r="E2" t="s">
        <v>26</v>
      </c>
      <c r="F2" s="3">
        <v>996902089971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1">
        <v>60</v>
      </c>
      <c r="M2" s="2">
        <f t="shared" ref="M2:M13" si="1">46293</f>
        <v>46293</v>
      </c>
      <c r="N2" s="4">
        <v>539086</v>
      </c>
      <c r="O2" s="4">
        <v>32345158</v>
      </c>
      <c r="P2" t="s">
        <v>32</v>
      </c>
      <c r="Q2" t="s">
        <v>33</v>
      </c>
      <c r="R2" t="s">
        <v>34</v>
      </c>
      <c r="S2" s="4">
        <v>263454</v>
      </c>
      <c r="T2" t="s">
        <v>35</v>
      </c>
      <c r="U2" t="s">
        <v>36</v>
      </c>
      <c r="V2" s="4">
        <v>0</v>
      </c>
      <c r="W2" s="1">
        <v>29</v>
      </c>
      <c r="X2" t="s">
        <v>37</v>
      </c>
    </row>
    <row r="3" spans="1:24">
      <c r="A3" t="s">
        <v>24</v>
      </c>
      <c r="B3" s="1">
        <v>10446</v>
      </c>
      <c r="C3" t="s">
        <v>25</v>
      </c>
      <c r="D3" s="2">
        <f t="shared" si="0"/>
        <v>46262</v>
      </c>
      <c r="E3" t="s">
        <v>26</v>
      </c>
      <c r="F3" s="3">
        <v>996902089969</v>
      </c>
      <c r="G3" t="s">
        <v>27</v>
      </c>
      <c r="H3" t="s">
        <v>28</v>
      </c>
      <c r="I3" t="s">
        <v>29</v>
      </c>
      <c r="J3" t="s">
        <v>30</v>
      </c>
      <c r="K3" t="s">
        <v>38</v>
      </c>
      <c r="L3" s="1">
        <v>35</v>
      </c>
      <c r="M3" s="2">
        <f t="shared" si="1"/>
        <v>46293</v>
      </c>
      <c r="N3" s="4">
        <v>539086</v>
      </c>
      <c r="O3" s="4">
        <v>18868009</v>
      </c>
      <c r="P3" t="s">
        <v>32</v>
      </c>
      <c r="Q3" t="s">
        <v>33</v>
      </c>
      <c r="R3" t="s">
        <v>34</v>
      </c>
      <c r="S3" s="4">
        <v>263454</v>
      </c>
      <c r="T3" t="s">
        <v>35</v>
      </c>
      <c r="U3" t="s">
        <v>39</v>
      </c>
      <c r="V3" s="4">
        <v>0</v>
      </c>
      <c r="W3" s="1">
        <v>29</v>
      </c>
      <c r="X3" t="s">
        <v>37</v>
      </c>
    </row>
    <row r="4" spans="1:24">
      <c r="A4" t="s">
        <v>24</v>
      </c>
      <c r="B4" s="1">
        <v>10446</v>
      </c>
      <c r="C4" t="s">
        <v>25</v>
      </c>
      <c r="D4" s="2">
        <f t="shared" si="0"/>
        <v>46262</v>
      </c>
      <c r="E4" t="s">
        <v>26</v>
      </c>
      <c r="F4" s="3">
        <v>996902089972</v>
      </c>
      <c r="G4" t="s">
        <v>27</v>
      </c>
      <c r="H4" t="s">
        <v>28</v>
      </c>
      <c r="I4" t="s">
        <v>29</v>
      </c>
      <c r="J4" t="s">
        <v>30</v>
      </c>
      <c r="K4" t="s">
        <v>40</v>
      </c>
      <c r="L4" s="1">
        <v>80</v>
      </c>
      <c r="M4" s="2">
        <f t="shared" si="1"/>
        <v>46293</v>
      </c>
      <c r="N4" s="4">
        <v>539086</v>
      </c>
      <c r="O4" s="4">
        <v>43126876</v>
      </c>
      <c r="P4" t="s">
        <v>32</v>
      </c>
      <c r="Q4" t="s">
        <v>33</v>
      </c>
      <c r="R4" t="s">
        <v>34</v>
      </c>
      <c r="S4" s="4">
        <v>263454</v>
      </c>
      <c r="T4" t="s">
        <v>35</v>
      </c>
      <c r="U4" t="s">
        <v>41</v>
      </c>
      <c r="V4" s="4">
        <v>0</v>
      </c>
      <c r="W4" s="1">
        <v>29</v>
      </c>
      <c r="X4" t="s">
        <v>37</v>
      </c>
    </row>
    <row r="5" spans="1:24">
      <c r="A5" t="s">
        <v>24</v>
      </c>
      <c r="B5" s="1">
        <v>10446</v>
      </c>
      <c r="C5" t="s">
        <v>25</v>
      </c>
      <c r="D5" s="2">
        <f t="shared" si="0"/>
        <v>46262</v>
      </c>
      <c r="E5" t="s">
        <v>26</v>
      </c>
      <c r="F5" s="3">
        <v>996902089970</v>
      </c>
      <c r="G5" t="s">
        <v>27</v>
      </c>
      <c r="H5" t="s">
        <v>28</v>
      </c>
      <c r="I5" t="s">
        <v>29</v>
      </c>
      <c r="J5" t="s">
        <v>30</v>
      </c>
      <c r="K5" t="s">
        <v>42</v>
      </c>
      <c r="L5" s="1">
        <v>55</v>
      </c>
      <c r="M5" s="2">
        <f t="shared" si="1"/>
        <v>46293</v>
      </c>
      <c r="N5" s="4">
        <v>539086</v>
      </c>
      <c r="O5" s="4">
        <v>29649728</v>
      </c>
      <c r="P5" t="s">
        <v>32</v>
      </c>
      <c r="Q5" t="s">
        <v>33</v>
      </c>
      <c r="R5" t="s">
        <v>34</v>
      </c>
      <c r="S5" s="4">
        <v>263454</v>
      </c>
      <c r="T5" t="s">
        <v>35</v>
      </c>
      <c r="U5" t="s">
        <v>43</v>
      </c>
      <c r="V5" s="4">
        <v>0</v>
      </c>
      <c r="W5" s="1">
        <v>29</v>
      </c>
      <c r="X5" t="s">
        <v>37</v>
      </c>
    </row>
    <row r="6" spans="1:24">
      <c r="A6" t="s">
        <v>24</v>
      </c>
      <c r="B6" s="1">
        <v>10446</v>
      </c>
      <c r="C6" t="s">
        <v>25</v>
      </c>
      <c r="D6" s="2">
        <f t="shared" si="0"/>
        <v>46262</v>
      </c>
      <c r="E6" t="s">
        <v>26</v>
      </c>
      <c r="F6" s="3">
        <v>996902089974</v>
      </c>
      <c r="G6" t="s">
        <v>27</v>
      </c>
      <c r="H6" t="s">
        <v>28</v>
      </c>
      <c r="I6" t="s">
        <v>29</v>
      </c>
      <c r="J6" t="s">
        <v>30</v>
      </c>
      <c r="K6" t="s">
        <v>44</v>
      </c>
      <c r="L6" s="1">
        <v>25</v>
      </c>
      <c r="M6" s="2">
        <f t="shared" si="1"/>
        <v>46293</v>
      </c>
      <c r="N6" s="4">
        <v>539086</v>
      </c>
      <c r="O6" s="4">
        <v>13477149</v>
      </c>
      <c r="P6" t="s">
        <v>32</v>
      </c>
      <c r="Q6" t="s">
        <v>33</v>
      </c>
      <c r="R6" t="s">
        <v>34</v>
      </c>
      <c r="S6" s="4">
        <v>263454</v>
      </c>
      <c r="T6" t="s">
        <v>35</v>
      </c>
      <c r="U6" t="s">
        <v>45</v>
      </c>
      <c r="V6" s="4">
        <v>0</v>
      </c>
      <c r="W6" s="1">
        <v>29</v>
      </c>
      <c r="X6" t="s">
        <v>37</v>
      </c>
    </row>
    <row r="7" spans="1:24">
      <c r="A7" t="s">
        <v>24</v>
      </c>
      <c r="B7" s="1">
        <v>10446</v>
      </c>
      <c r="C7" t="s">
        <v>25</v>
      </c>
      <c r="D7" s="2">
        <f t="shared" si="0"/>
        <v>46262</v>
      </c>
      <c r="E7" t="s">
        <v>26</v>
      </c>
      <c r="F7" s="3">
        <v>996902089973</v>
      </c>
      <c r="G7" t="s">
        <v>27</v>
      </c>
      <c r="H7" t="s">
        <v>28</v>
      </c>
      <c r="I7" t="s">
        <v>29</v>
      </c>
      <c r="J7" t="s">
        <v>30</v>
      </c>
      <c r="K7" t="s">
        <v>46</v>
      </c>
      <c r="L7" s="1">
        <v>45</v>
      </c>
      <c r="M7" s="2">
        <f t="shared" si="1"/>
        <v>46293</v>
      </c>
      <c r="N7" s="4">
        <v>539086</v>
      </c>
      <c r="O7" s="4">
        <v>24258868</v>
      </c>
      <c r="P7" t="s">
        <v>32</v>
      </c>
      <c r="Q7" t="s">
        <v>33</v>
      </c>
      <c r="R7" t="s">
        <v>34</v>
      </c>
      <c r="S7" s="4">
        <v>263454</v>
      </c>
      <c r="T7" t="s">
        <v>35</v>
      </c>
      <c r="U7" t="s">
        <v>47</v>
      </c>
      <c r="V7" s="4">
        <v>0</v>
      </c>
      <c r="W7" s="1">
        <v>29</v>
      </c>
      <c r="X7" t="s">
        <v>37</v>
      </c>
    </row>
    <row r="8" spans="1:24">
      <c r="A8" t="s">
        <v>24</v>
      </c>
      <c r="B8" s="1">
        <v>10446</v>
      </c>
      <c r="C8" t="s">
        <v>25</v>
      </c>
      <c r="D8" s="2">
        <f t="shared" si="0"/>
        <v>46262</v>
      </c>
      <c r="E8" t="s">
        <v>26</v>
      </c>
      <c r="F8" s="3">
        <v>996902089978</v>
      </c>
      <c r="G8" t="s">
        <v>27</v>
      </c>
      <c r="H8" t="s">
        <v>28</v>
      </c>
      <c r="I8" t="s">
        <v>29</v>
      </c>
      <c r="J8" t="s">
        <v>30</v>
      </c>
      <c r="K8" t="s">
        <v>48</v>
      </c>
      <c r="L8" s="1">
        <v>40</v>
      </c>
      <c r="M8" s="2">
        <f t="shared" si="1"/>
        <v>46293</v>
      </c>
      <c r="N8" s="4">
        <v>539086</v>
      </c>
      <c r="O8" s="4">
        <v>21563438</v>
      </c>
      <c r="P8" t="s">
        <v>32</v>
      </c>
      <c r="Q8" t="s">
        <v>33</v>
      </c>
      <c r="R8" t="s">
        <v>34</v>
      </c>
      <c r="S8" s="4">
        <v>263454</v>
      </c>
      <c r="T8" t="s">
        <v>49</v>
      </c>
      <c r="U8" t="s">
        <v>36</v>
      </c>
      <c r="V8" s="4">
        <v>0</v>
      </c>
      <c r="W8" s="1">
        <v>29</v>
      </c>
      <c r="X8" t="s">
        <v>37</v>
      </c>
    </row>
    <row r="9" spans="1:24">
      <c r="A9" t="s">
        <v>24</v>
      </c>
      <c r="B9" s="1">
        <v>10446</v>
      </c>
      <c r="C9" t="s">
        <v>25</v>
      </c>
      <c r="D9" s="2">
        <f t="shared" si="0"/>
        <v>46262</v>
      </c>
      <c r="E9" t="s">
        <v>26</v>
      </c>
      <c r="F9" s="3">
        <v>996902089976</v>
      </c>
      <c r="G9" t="s">
        <v>27</v>
      </c>
      <c r="H9" t="s">
        <v>28</v>
      </c>
      <c r="I9" t="s">
        <v>29</v>
      </c>
      <c r="J9" t="s">
        <v>30</v>
      </c>
      <c r="K9" t="s">
        <v>50</v>
      </c>
      <c r="L9" s="1">
        <v>25</v>
      </c>
      <c r="M9" s="2">
        <f t="shared" si="1"/>
        <v>46293</v>
      </c>
      <c r="N9" s="4">
        <v>539086</v>
      </c>
      <c r="O9" s="4">
        <v>13477149</v>
      </c>
      <c r="P9" t="s">
        <v>32</v>
      </c>
      <c r="Q9" t="s">
        <v>33</v>
      </c>
      <c r="R9" t="s">
        <v>34</v>
      </c>
      <c r="S9" s="4">
        <v>263454</v>
      </c>
      <c r="T9" t="s">
        <v>49</v>
      </c>
      <c r="U9" t="s">
        <v>39</v>
      </c>
      <c r="V9" s="4">
        <v>0</v>
      </c>
      <c r="W9" s="1">
        <v>29</v>
      </c>
      <c r="X9" t="s">
        <v>37</v>
      </c>
    </row>
    <row r="10" spans="1:24">
      <c r="A10" t="s">
        <v>24</v>
      </c>
      <c r="B10" s="1">
        <v>10446</v>
      </c>
      <c r="C10" t="s">
        <v>25</v>
      </c>
      <c r="D10" s="2">
        <f t="shared" si="0"/>
        <v>46262</v>
      </c>
      <c r="E10" t="s">
        <v>26</v>
      </c>
      <c r="F10" s="3">
        <v>996902089979</v>
      </c>
      <c r="G10" t="s">
        <v>27</v>
      </c>
      <c r="H10" t="s">
        <v>28</v>
      </c>
      <c r="I10" t="s">
        <v>29</v>
      </c>
      <c r="J10" t="s">
        <v>30</v>
      </c>
      <c r="K10" t="s">
        <v>51</v>
      </c>
      <c r="L10" s="1">
        <v>30</v>
      </c>
      <c r="M10" s="2">
        <f t="shared" si="1"/>
        <v>46293</v>
      </c>
      <c r="N10" s="4">
        <v>539086</v>
      </c>
      <c r="O10" s="4">
        <v>16172579</v>
      </c>
      <c r="P10" t="s">
        <v>32</v>
      </c>
      <c r="Q10" t="s">
        <v>33</v>
      </c>
      <c r="R10" t="s">
        <v>34</v>
      </c>
      <c r="S10" s="4">
        <v>263454</v>
      </c>
      <c r="T10" t="s">
        <v>49</v>
      </c>
      <c r="U10" t="s">
        <v>41</v>
      </c>
      <c r="V10" s="4">
        <v>0</v>
      </c>
      <c r="W10" s="1">
        <v>29</v>
      </c>
      <c r="X10" t="s">
        <v>37</v>
      </c>
    </row>
    <row r="11" spans="1:24">
      <c r="A11" t="s">
        <v>24</v>
      </c>
      <c r="B11" s="1">
        <v>10446</v>
      </c>
      <c r="C11" t="s">
        <v>25</v>
      </c>
      <c r="D11" s="2">
        <f t="shared" si="0"/>
        <v>46262</v>
      </c>
      <c r="E11" t="s">
        <v>26</v>
      </c>
      <c r="F11" s="3">
        <v>996902089977</v>
      </c>
      <c r="G11" t="s">
        <v>27</v>
      </c>
      <c r="H11" t="s">
        <v>28</v>
      </c>
      <c r="I11" t="s">
        <v>29</v>
      </c>
      <c r="J11" t="s">
        <v>30</v>
      </c>
      <c r="K11" t="s">
        <v>52</v>
      </c>
      <c r="L11" s="1">
        <v>20</v>
      </c>
      <c r="M11" s="2">
        <f t="shared" si="1"/>
        <v>46293</v>
      </c>
      <c r="N11" s="4">
        <v>539086</v>
      </c>
      <c r="O11" s="4">
        <v>10781719</v>
      </c>
      <c r="P11" t="s">
        <v>32</v>
      </c>
      <c r="Q11" t="s">
        <v>33</v>
      </c>
      <c r="R11" t="s">
        <v>34</v>
      </c>
      <c r="S11" s="4">
        <v>263454</v>
      </c>
      <c r="T11" t="s">
        <v>49</v>
      </c>
      <c r="U11" t="s">
        <v>43</v>
      </c>
      <c r="V11" s="4">
        <v>0</v>
      </c>
      <c r="W11" s="1">
        <v>29</v>
      </c>
      <c r="X11" t="s">
        <v>37</v>
      </c>
    </row>
    <row r="12" spans="1:24">
      <c r="A12" t="s">
        <v>24</v>
      </c>
      <c r="B12" s="1">
        <v>10446</v>
      </c>
      <c r="C12" t="s">
        <v>25</v>
      </c>
      <c r="D12" s="2">
        <f t="shared" si="0"/>
        <v>46262</v>
      </c>
      <c r="E12" t="s">
        <v>26</v>
      </c>
      <c r="F12" s="3">
        <v>996902089981</v>
      </c>
      <c r="G12" t="s">
        <v>27</v>
      </c>
      <c r="H12" t="s">
        <v>28</v>
      </c>
      <c r="I12" t="s">
        <v>29</v>
      </c>
      <c r="J12" t="s">
        <v>30</v>
      </c>
      <c r="K12" t="s">
        <v>53</v>
      </c>
      <c r="L12" s="1">
        <v>10</v>
      </c>
      <c r="M12" s="2">
        <f t="shared" si="1"/>
        <v>46293</v>
      </c>
      <c r="N12" s="4">
        <v>539086</v>
      </c>
      <c r="O12" s="4">
        <v>5390860</v>
      </c>
      <c r="P12" t="s">
        <v>32</v>
      </c>
      <c r="Q12" t="s">
        <v>33</v>
      </c>
      <c r="R12" t="s">
        <v>34</v>
      </c>
      <c r="S12" s="4">
        <v>263454</v>
      </c>
      <c r="T12" t="s">
        <v>49</v>
      </c>
      <c r="U12" t="s">
        <v>45</v>
      </c>
      <c r="V12" s="4">
        <v>0</v>
      </c>
      <c r="W12" s="1">
        <v>29</v>
      </c>
      <c r="X12" t="s">
        <v>37</v>
      </c>
    </row>
    <row r="13" spans="1:24">
      <c r="A13" t="s">
        <v>24</v>
      </c>
      <c r="B13" s="1">
        <v>10446</v>
      </c>
      <c r="C13" t="s">
        <v>25</v>
      </c>
      <c r="D13" s="2">
        <f t="shared" si="0"/>
        <v>46262</v>
      </c>
      <c r="E13" t="s">
        <v>26</v>
      </c>
      <c r="F13" s="3">
        <v>996902089980</v>
      </c>
      <c r="G13" t="s">
        <v>27</v>
      </c>
      <c r="H13" t="s">
        <v>28</v>
      </c>
      <c r="I13" t="s">
        <v>29</v>
      </c>
      <c r="J13" t="s">
        <v>30</v>
      </c>
      <c r="K13" t="s">
        <v>54</v>
      </c>
      <c r="L13" s="1">
        <v>15</v>
      </c>
      <c r="M13" s="2">
        <f t="shared" si="1"/>
        <v>46293</v>
      </c>
      <c r="N13" s="4">
        <v>539086</v>
      </c>
      <c r="O13" s="4">
        <v>8086289</v>
      </c>
      <c r="P13" t="s">
        <v>32</v>
      </c>
      <c r="Q13" t="s">
        <v>33</v>
      </c>
      <c r="R13" t="s">
        <v>34</v>
      </c>
      <c r="S13" s="4">
        <v>263454</v>
      </c>
      <c r="T13" t="s">
        <v>49</v>
      </c>
      <c r="U13" t="s">
        <v>47</v>
      </c>
      <c r="V13" s="4">
        <v>0</v>
      </c>
      <c r="W13" s="1">
        <v>29</v>
      </c>
      <c r="X13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Jessica.Thoeng</cp:lastModifiedBy>
  <dcterms:created xsi:type="dcterms:W3CDTF">2026-09-15T06:38:51Z</dcterms:created>
  <dcterms:modified xsi:type="dcterms:W3CDTF">2026-09-15T06:38:59Z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4487ADF4FC174B0DBEDF76F77AE20E22_13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