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SANGKURIANG\MD_PROJECT\PO\SUPER\po_template\"/>
    </mc:Choice>
  </mc:AlternateContent>
  <bookViews>
    <workbookView xWindow="0" yWindow="0" windowWidth="20490" windowHeight="7500"/>
  </bookViews>
  <sheets>
    <sheet name="PO CONFIRMED" sheetId="5" r:id="rId1"/>
  </sheets>
  <definedNames>
    <definedName name="_xlnm.Print_Area" localSheetId="0">'PO CONFIRMED'!$A$1:$Q$52</definedName>
  </definedNames>
  <calcPr calcId="162913"/>
</workbook>
</file>

<file path=xl/calcChain.xml><?xml version="1.0" encoding="utf-8"?>
<calcChain xmlns="http://schemas.openxmlformats.org/spreadsheetml/2006/main">
  <c r="Q11" i="5" l="1"/>
  <c r="Q12" i="5"/>
  <c r="O15" i="5"/>
  <c r="A28" i="5"/>
  <c r="A37" i="5"/>
  <c r="C37" i="5"/>
  <c r="E37" i="5"/>
  <c r="Q15" i="5"/>
</calcChain>
</file>

<file path=xl/sharedStrings.xml><?xml version="1.0" encoding="utf-8"?>
<sst xmlns="http://schemas.openxmlformats.org/spreadsheetml/2006/main" count="55" uniqueCount="52">
  <si>
    <t>PURCHASE ORDER</t>
  </si>
  <si>
    <t>PT. LARA THALIA ABADI</t>
  </si>
  <si>
    <t xml:space="preserve">PO NO </t>
  </si>
  <si>
    <t>EVERBEST TOWER - CENGKARENG BUSINESS CITY TOWER M</t>
  </si>
  <si>
    <t>TRACCE</t>
  </si>
  <si>
    <t>Jl. Atang Sanjaya no. 21 Benda - Tangerang Banten, Indonesia</t>
  </si>
  <si>
    <t xml:space="preserve">DATE </t>
  </si>
  <si>
    <t>PHONE : 021 - 2252 9090</t>
  </si>
  <si>
    <t xml:space="preserve">TO </t>
  </si>
  <si>
    <t>: EDE</t>
  </si>
  <si>
    <t>DESCRIPTION</t>
  </si>
  <si>
    <t>SUPPLIER CODE</t>
  </si>
  <si>
    <t>LTA ARTICLE</t>
  </si>
  <si>
    <t>CODE SE CA</t>
  </si>
  <si>
    <t>COLOUR</t>
  </si>
  <si>
    <t>颜色</t>
  </si>
  <si>
    <t xml:space="preserve"> </t>
  </si>
  <si>
    <t>QTY</t>
  </si>
  <si>
    <t>COST</t>
  </si>
  <si>
    <t xml:space="preserve">AMOUNT </t>
  </si>
  <si>
    <t>厂编号</t>
  </si>
  <si>
    <t>我司鞋编号</t>
  </si>
  <si>
    <t>数量</t>
  </si>
  <si>
    <t>US$</t>
  </si>
  <si>
    <t>AS SAMPLE</t>
  </si>
  <si>
    <t>HANDBAGS</t>
  </si>
  <si>
    <t>FREE SIZE</t>
  </si>
  <si>
    <t>Delivery Date</t>
  </si>
  <si>
    <t>BARCODE 请贴条码按照图片：</t>
  </si>
  <si>
    <t>QR CODE 二维码:</t>
  </si>
  <si>
    <t>请缝这个布标写“MADE IN CHINA"在内里布</t>
  </si>
  <si>
    <t xml:space="preserve"> 交货日期 </t>
  </si>
  <si>
    <t xml:space="preserve">LOGO : 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</si>
  <si>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</si>
  <si>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</si>
  <si>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</si>
  <si>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</si>
  <si>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</si>
  <si>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</si>
  <si>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PACKAGING 包装：</t>
  </si>
  <si>
    <t>OTHER REMARKS:</t>
  </si>
  <si>
    <t>注意：</t>
  </si>
  <si>
    <t>1. Please give extra 10 straps for each color</t>
  </si>
  <si>
    <t>请配每个颜色多10件长肩带</t>
  </si>
  <si>
    <t>2. Please give extra zipper</t>
  </si>
  <si>
    <t>请给额外的拉链</t>
  </si>
  <si>
    <t>3. Please paste the QR code correctly</t>
  </si>
  <si>
    <t>请正确粘贴二维码</t>
  </si>
  <si>
    <t>4. Please paste the barcode correctly. No photocopying of barcode is allowed</t>
  </si>
  <si>
    <t>请正确粘贴条形码。不允许复印条形码</t>
  </si>
  <si>
    <t xml:space="preserve">: </t>
  </si>
  <si>
    <t>E-MAIL ADDRESS : buyer@everbestgroup.com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</si>
</sst>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3809]dd\ mmmm\ yyyy;@"/>
    <numFmt numFmtId="165" formatCode="[$￥-804]#,##0"/>
    <numFmt numFmtId="166" formatCode="[$-409]d\-mmm\-yy;@"/>
    <numFmt numFmtId="167" formatCode="_(* #,##0_);_(* \(#,##0\);_(* &quot;-&quot;??_);_(@_)"/>
  </numFmts>
  <fonts count="67">
    <font>
      <sz val="10"/>
      <name val="Arial"/>
      <family val="2"/>
    </font>
    <font>
      <sz val="11"/>
      <name val="Trebuchet MS"/>
      <family val="2"/>
    </font>
    <font>
      <b/>
      <sz val="14"/>
      <name val="Arial"/>
      <family val="2"/>
    </font>
    <font>
      <sz val="18"/>
      <color indexed="9"/>
      <name val="Trebuchet MS"/>
      <family val="2"/>
    </font>
    <font>
      <b/>
      <sz val="18"/>
      <name val="Arial"/>
      <family val="2"/>
    </font>
    <font>
      <b/>
      <sz val="16"/>
      <name val="Trebuchet MS"/>
      <family val="2"/>
    </font>
    <font>
      <b/>
      <sz val="16"/>
      <color indexed="16"/>
      <name val="Arial"/>
      <family val="2"/>
    </font>
    <font>
      <b/>
      <sz val="12"/>
      <color indexed="18"/>
      <name val="Trebuchet MS"/>
      <family val="2"/>
    </font>
    <font>
      <b/>
      <sz val="12"/>
      <name val="Trebuchet MS"/>
      <family val="2"/>
    </font>
    <font>
      <sz val="10"/>
      <name val="Trebuchet MS"/>
      <family val="2"/>
    </font>
    <font>
      <b/>
      <sz val="14"/>
      <color indexed="9"/>
      <name val="Century Gothic"/>
      <family val="2"/>
    </font>
    <font>
      <b/>
      <sz val="11"/>
      <name val="Arial"/>
      <family val="2"/>
    </font>
    <font>
      <b/>
      <sz val="20"/>
      <name val="Comic Sans MS"/>
      <family val="4"/>
    </font>
    <font>
      <b/>
      <sz val="12"/>
      <name val="宋体"/>
    </font>
    <font>
      <sz val="12"/>
      <name val="Trebuchet MS"/>
      <family val="2"/>
    </font>
    <font>
      <b/>
      <sz val="36"/>
      <color indexed="10"/>
      <name val="Trebuchet MS"/>
      <family val="2"/>
    </font>
    <font>
      <b/>
      <sz val="14"/>
      <name val="Trebuchet MS"/>
      <family val="2"/>
    </font>
    <font>
      <b/>
      <sz val="10"/>
      <name val="Trebuchet MS"/>
      <family val="2"/>
    </font>
    <font>
      <b/>
      <sz val="10"/>
      <name val="Arial"/>
      <family val="2"/>
    </font>
    <font>
      <b/>
      <sz val="12"/>
      <name val="Century Gothic"/>
      <family val="2"/>
    </font>
    <font>
      <b/>
      <sz val="20"/>
      <name val="Trebuchet MS"/>
      <family val="2"/>
    </font>
    <font>
      <b/>
      <sz val="16"/>
      <name val="Arial"/>
      <family val="2"/>
    </font>
    <font>
      <b/>
      <sz val="11"/>
      <color indexed="36"/>
      <name val="Trebuchet MS"/>
      <family val="2"/>
    </font>
    <font>
      <sz val="9"/>
      <name val="Trebuchet MS"/>
      <family val="2"/>
    </font>
    <font>
      <sz val="14"/>
      <name val="Trebuchet MS"/>
      <family val="2"/>
    </font>
    <font>
      <b/>
      <sz val="12"/>
      <color indexed="16"/>
      <name val="Trebuchet MS"/>
      <family val="2"/>
    </font>
    <font>
      <sz val="9"/>
      <name val="Arial"/>
      <family val="2"/>
    </font>
    <font>
      <sz val="11"/>
      <name val="Arial"/>
      <family val="2"/>
    </font>
    <font>
      <b/>
      <sz val="14"/>
      <color indexed="16"/>
      <name val="Trebuchet MS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b/>
      <sz val="12"/>
      <name val="Arial"/>
      <family val="2"/>
    </font>
    <font>
      <b/>
      <sz val="12"/>
      <color indexed="62"/>
      <name val="Trebuchet MS"/>
      <family val="2"/>
    </font>
    <font>
      <b/>
      <sz val="14"/>
      <color indexed="62"/>
      <name val="Trebuchet MS"/>
      <family val="2"/>
    </font>
    <font>
      <b/>
      <sz val="9"/>
      <color indexed="10"/>
      <name val="Trebuchet MS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56"/>
      <name val="Calibri"/>
      <family val="2"/>
    </font>
    <font>
      <sz val="12"/>
      <name val="宋体"/>
    </font>
    <font>
      <sz val="11"/>
      <color indexed="17"/>
      <name val="Calibri"/>
      <family val="2"/>
    </font>
    <font>
      <sz val="11"/>
      <color indexed="17"/>
      <name val="宋体"/>
    </font>
    <font>
      <sz val="11"/>
      <color indexed="20"/>
      <name val="Calibri"/>
      <family val="2"/>
    </font>
    <font>
      <sz val="11"/>
      <color indexed="20"/>
      <name val="宋体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宋体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Trebuchet MS"/>
      <family val="2"/>
    </font>
    <font>
      <b/>
      <sz val="12"/>
      <color rgb="FFFF0000"/>
      <name val="Trebuchet MS"/>
      <family val="2"/>
    </font>
    <font>
      <sz val="12"/>
      <color rgb="FFFF0000"/>
      <name val="Trebuchet MS"/>
      <family val="2"/>
    </font>
    <font>
      <b/>
      <sz val="11"/>
      <color rgb="FFFF0000"/>
      <name val="Trebuchet MS"/>
      <family val="2"/>
    </font>
    <font>
      <b/>
      <sz val="14"/>
      <color theme="1"/>
      <name val="Trebuchet MS"/>
      <family val="2"/>
    </font>
    <font>
      <b/>
      <sz val="12"/>
      <color theme="1"/>
      <name val="Trebuchet MS"/>
      <family val="2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2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7" fillId="14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7" fillId="13" borderId="0" applyNumberFormat="0" applyBorder="0" applyAlignment="0" applyProtection="0"/>
    <xf numFmtId="0" fontId="37" fillId="16" borderId="0" applyNumberFormat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57" fillId="0" borderId="0"/>
    <xf numFmtId="0" fontId="58" fillId="0" borderId="0"/>
    <xf numFmtId="0" fontId="58" fillId="0" borderId="0"/>
    <xf numFmtId="0" fontId="57" fillId="0" borderId="0"/>
    <xf numFmtId="164" fontId="58" fillId="0" borderId="0"/>
    <xf numFmtId="0" fontId="58" fillId="0" borderId="0"/>
    <xf numFmtId="0" fontId="42" fillId="0" borderId="0">
      <alignment vertical="center"/>
    </xf>
    <xf numFmtId="0" fontId="60" fillId="0" borderId="0"/>
    <xf numFmtId="0" fontId="57" fillId="0" borderId="0"/>
    <xf numFmtId="9" fontId="57" fillId="0" borderId="0" applyFont="0" applyFill="0" applyBorder="0" applyAlignment="0" applyProtection="0"/>
    <xf numFmtId="0" fontId="43" fillId="5" borderId="0" applyNumberFormat="0" applyBorder="0" applyAlignment="0" applyProtection="0"/>
    <xf numFmtId="0" fontId="44" fillId="5" borderId="0" applyNumberFormat="0" applyBorder="0" applyAlignment="0" applyProtection="0">
      <alignment vertical="center"/>
    </xf>
    <xf numFmtId="0" fontId="45" fillId="4" borderId="0" applyNumberFormat="0" applyBorder="0" applyAlignment="0" applyProtection="0"/>
    <xf numFmtId="0" fontId="46" fillId="4" borderId="0" applyNumberFormat="0" applyBorder="0" applyAlignment="0" applyProtection="0">
      <alignment vertical="center"/>
    </xf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15" borderId="0" applyNumberFormat="0" applyBorder="0" applyAlignment="0" applyProtection="0"/>
    <xf numFmtId="0" fontId="37" fillId="13" borderId="0" applyNumberFormat="0" applyBorder="0" applyAlignment="0" applyProtection="0"/>
    <xf numFmtId="0" fontId="37" fillId="23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7" applyNumberFormat="0" applyFill="0" applyAlignment="0" applyProtection="0"/>
    <xf numFmtId="0" fontId="49" fillId="0" borderId="3" applyNumberFormat="0" applyFill="0" applyAlignment="0" applyProtection="0"/>
    <xf numFmtId="0" fontId="41" fillId="0" borderId="8" applyNumberFormat="0" applyFill="0" applyAlignment="0" applyProtection="0"/>
    <xf numFmtId="0" fontId="4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51" fillId="17" borderId="2" applyNumberFormat="0" applyAlignment="0" applyProtection="0"/>
    <xf numFmtId="0" fontId="52" fillId="0" borderId="9" applyNumberFormat="0" applyFill="0" applyAlignment="0" applyProtection="0"/>
    <xf numFmtId="0" fontId="52" fillId="0" borderId="9" applyNumberFormat="0" applyFill="0" applyAlignment="0" applyProtection="0"/>
    <xf numFmtId="0" fontId="57" fillId="18" borderId="5" applyNumberFormat="0" applyFont="0" applyAlignment="0" applyProtection="0"/>
    <xf numFmtId="0" fontId="57" fillId="18" borderId="5" applyNumberFormat="0" applyFont="0" applyAlignment="0" applyProtection="0"/>
    <xf numFmtId="0" fontId="57" fillId="18" borderId="5" applyNumberFormat="0" applyFont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9" fillId="8" borderId="1" applyNumberFormat="0" applyAlignment="0" applyProtection="0"/>
    <xf numFmtId="0" fontId="55" fillId="2" borderId="1" applyNumberFormat="0" applyAlignment="0" applyProtection="0"/>
    <xf numFmtId="0" fontId="40" fillId="8" borderId="6" applyNumberFormat="0" applyAlignment="0" applyProtection="0"/>
    <xf numFmtId="0" fontId="40" fillId="8" borderId="6" applyNumberFormat="0" applyAlignment="0" applyProtection="0"/>
    <xf numFmtId="0" fontId="38" fillId="19" borderId="0" applyNumberFormat="0" applyBorder="0" applyAlignment="0" applyProtection="0"/>
    <xf numFmtId="0" fontId="56" fillId="0" borderId="4" applyNumberFormat="0" applyFill="0" applyAlignment="0" applyProtection="0"/>
  </cellStyleXfs>
  <cellXfs count="29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9" applyNumberFormat="1" applyFont="1" applyAlignment="1">
      <alignment vertical="center"/>
    </xf>
    <xf numFmtId="43" fontId="0" fillId="0" borderId="0" xfId="19" applyNumberFormat="1" applyFont="1" applyAlignment="1">
      <alignment vertical="center"/>
    </xf>
    <xf numFmtId="165" fontId="0" fillId="0" borderId="0" xfId="19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13" xfId="0" applyFont="1" applyBorder="1" applyAlignment="1">
      <alignment vertical="center"/>
    </xf>
    <xf numFmtId="166" fontId="8" fillId="0" borderId="0" xfId="0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66" fontId="8" fillId="0" borderId="14" xfId="0" applyNumberFormat="1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NumberFormat="1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2" xfId="0" applyNumberFormat="1" applyFont="1" applyFill="1" applyBorder="1" applyAlignment="1">
      <alignment horizontal="center" vertical="center"/>
    </xf>
    <xf numFmtId="0" fontId="61" fillId="0" borderId="23" xfId="0" applyFont="1" applyBorder="1" applyAlignment="1">
      <alignment horizontal="center" vertical="center" wrapText="1"/>
    </xf>
    <xf numFmtId="0" fontId="9" fillId="0" borderId="24" xfId="31" applyFont="1" applyBorder="1" applyAlignment="1">
      <alignment horizontal="left"/>
    </xf>
    <xf numFmtId="0" fontId="9" fillId="0" borderId="25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8" fillId="0" borderId="27" xfId="0" applyNumberFormat="1" applyFont="1" applyFill="1" applyBorder="1" applyAlignment="1">
      <alignment horizontal="center" vertical="center"/>
    </xf>
    <xf numFmtId="0" fontId="61" fillId="0" borderId="28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8" fillId="0" borderId="10" xfId="0" applyFont="1" applyBorder="1" applyAlignment="1" applyProtection="1">
      <alignment vertical="center" wrapText="1"/>
    </xf>
    <xf numFmtId="0" fontId="8" fillId="0" borderId="13" xfId="0" applyFont="1" applyBorder="1" applyAlignment="1" applyProtection="1">
      <alignment vertical="center" wrapText="1"/>
    </xf>
    <xf numFmtId="166" fontId="15" fillId="0" borderId="10" xfId="0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0" borderId="13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8" fillId="0" borderId="30" xfId="0" applyFont="1" applyBorder="1" applyAlignment="1" applyProtection="1">
      <alignment vertical="center"/>
    </xf>
    <xf numFmtId="0" fontId="8" fillId="0" borderId="13" xfId="0" applyFont="1" applyBorder="1" applyAlignment="1" applyProtection="1">
      <alignment vertical="center"/>
    </xf>
    <xf numFmtId="0" fontId="16" fillId="0" borderId="13" xfId="0" applyFont="1" applyFill="1" applyBorder="1" applyAlignment="1">
      <alignment vertical="center"/>
    </xf>
    <xf numFmtId="0" fontId="62" fillId="0" borderId="30" xfId="0" applyFont="1" applyBorder="1" applyAlignment="1" applyProtection="1">
      <alignment vertical="center" wrapText="1"/>
    </xf>
    <xf numFmtId="0" fontId="8" fillId="0" borderId="13" xfId="0" applyFont="1" applyBorder="1" applyAlignment="1"/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24" fillId="0" borderId="13" xfId="0" applyFont="1" applyFill="1" applyBorder="1" applyAlignment="1">
      <alignment vertical="center"/>
    </xf>
    <xf numFmtId="0" fontId="23" fillId="0" borderId="0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22" fillId="0" borderId="33" xfId="0" applyFont="1" applyBorder="1" applyAlignment="1">
      <alignment horizontal="right"/>
    </xf>
    <xf numFmtId="0" fontId="8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8" fillId="0" borderId="35" xfId="0" applyFont="1" applyBorder="1" applyAlignment="1" applyProtection="1">
      <alignment horizontal="center" vertical="center"/>
    </xf>
    <xf numFmtId="43" fontId="25" fillId="0" borderId="26" xfId="19" applyNumberFormat="1" applyFont="1" applyBorder="1" applyAlignment="1">
      <alignment horizontal="center" vertical="center" wrapText="1"/>
    </xf>
    <xf numFmtId="167" fontId="16" fillId="0" borderId="36" xfId="19" applyNumberFormat="1" applyFont="1" applyFill="1" applyBorder="1" applyAlignment="1">
      <alignment horizontal="center" vertical="center"/>
    </xf>
    <xf numFmtId="44" fontId="28" fillId="0" borderId="37" xfId="22" applyNumberFormat="1" applyFont="1" applyFill="1" applyBorder="1" applyAlignment="1">
      <alignment horizontal="center" vertical="center"/>
    </xf>
    <xf numFmtId="167" fontId="16" fillId="0" borderId="38" xfId="19" applyNumberFormat="1" applyFont="1" applyFill="1" applyBorder="1" applyAlignment="1">
      <alignment horizontal="center" vertical="center"/>
    </xf>
    <xf numFmtId="44" fontId="28" fillId="0" borderId="39" xfId="22" applyNumberFormat="1" applyFont="1" applyFill="1" applyBorder="1" applyAlignment="1">
      <alignment horizontal="center" vertical="center"/>
    </xf>
    <xf numFmtId="44" fontId="16" fillId="0" borderId="13" xfId="22" applyNumberFormat="1" applyFont="1" applyFill="1" applyBorder="1" applyAlignment="1">
      <alignment horizontal="center" vertical="center"/>
    </xf>
    <xf numFmtId="44" fontId="28" fillId="0" borderId="40" xfId="22" applyNumberFormat="1" applyFont="1" applyFill="1" applyBorder="1" applyAlignment="1">
      <alignment horizontal="center" vertical="center"/>
    </xf>
    <xf numFmtId="0" fontId="29" fillId="0" borderId="41" xfId="22" applyNumberFormat="1" applyFont="1" applyBorder="1" applyAlignment="1">
      <alignment horizontal="center" vertical="center"/>
    </xf>
    <xf numFmtId="44" fontId="29" fillId="24" borderId="42" xfId="22" applyNumberFormat="1" applyFont="1" applyFill="1" applyBorder="1" applyAlignment="1">
      <alignment horizontal="center" vertical="center"/>
    </xf>
    <xf numFmtId="167" fontId="30" fillId="0" borderId="0" xfId="0" applyNumberFormat="1" applyFont="1" applyBorder="1" applyAlignment="1">
      <alignment vertical="center"/>
    </xf>
    <xf numFmtId="166" fontId="15" fillId="27" borderId="11" xfId="0" applyNumberFormat="1" applyFont="1" applyFill="1" applyBorder="1" applyAlignment="1">
      <alignment vertical="center"/>
    </xf>
    <xf numFmtId="166" fontId="15" fillId="27" borderId="12" xfId="0" applyNumberFormat="1" applyFont="1" applyFill="1" applyBorder="1" applyAlignment="1">
      <alignment vertical="center"/>
    </xf>
    <xf numFmtId="166" fontId="15" fillId="27" borderId="0" xfId="0" applyNumberFormat="1" applyFont="1" applyFill="1" applyBorder="1" applyAlignment="1">
      <alignment vertical="center"/>
    </xf>
    <xf numFmtId="166" fontId="15" fillId="27" borderId="14" xfId="0" applyNumberFormat="1" applyFont="1" applyFill="1" applyBorder="1" applyAlignment="1">
      <alignment vertical="center"/>
    </xf>
    <xf numFmtId="166" fontId="15" fillId="27" borderId="33" xfId="0" applyNumberFormat="1" applyFont="1" applyFill="1" applyBorder="1" applyAlignment="1">
      <alignment vertical="center"/>
    </xf>
    <xf numFmtId="166" fontId="15" fillId="27" borderId="34" xfId="0" applyNumberFormat="1" applyFont="1" applyFill="1" applyBorder="1" applyAlignment="1">
      <alignment vertical="center"/>
    </xf>
    <xf numFmtId="0" fontId="25" fillId="0" borderId="0" xfId="0" applyFont="1" applyBorder="1" applyAlignment="1">
      <alignment vertical="center"/>
    </xf>
    <xf numFmtId="43" fontId="9" fillId="0" borderId="0" xfId="19" applyNumberFormat="1" applyFont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43" fontId="9" fillId="0" borderId="0" xfId="19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14" fillId="0" borderId="33" xfId="0" applyFont="1" applyFill="1" applyBorder="1" applyAlignment="1">
      <alignment vertical="center"/>
    </xf>
    <xf numFmtId="43" fontId="9" fillId="0" borderId="33" xfId="19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4" fontId="32" fillId="0" borderId="43" xfId="19" applyNumberFormat="1" applyFont="1" applyBorder="1" applyAlignment="1">
      <alignment horizontal="center" vertical="center" wrapText="1"/>
    </xf>
    <xf numFmtId="4" fontId="33" fillId="0" borderId="44" xfId="22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4" fontId="33" fillId="0" borderId="45" xfId="22" applyNumberFormat="1" applyFont="1" applyFill="1" applyBorder="1" applyAlignment="1">
      <alignment vertical="center"/>
    </xf>
    <xf numFmtId="4" fontId="33" fillId="0" borderId="46" xfId="22" applyNumberFormat="1" applyFont="1" applyFill="1" applyBorder="1" applyAlignment="1">
      <alignment vertical="center"/>
    </xf>
    <xf numFmtId="4" fontId="30" fillId="0" borderId="41" xfId="22" applyNumberFormat="1" applyFont="1" applyFill="1" applyBorder="1" applyAlignment="1">
      <alignment vertical="center"/>
    </xf>
    <xf numFmtId="0" fontId="19" fillId="0" borderId="0" xfId="0" applyFont="1" applyBorder="1" applyAlignment="1">
      <alignment vertical="center"/>
    </xf>
    <xf numFmtId="4" fontId="30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5" fontId="9" fillId="0" borderId="0" xfId="19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5" fillId="0" borderId="0" xfId="0" applyFont="1" applyBorder="1" applyAlignment="1">
      <alignment vertical="center"/>
    </xf>
    <xf numFmtId="165" fontId="9" fillId="0" borderId="0" xfId="19" applyNumberFormat="1" applyFont="1" applyFill="1" applyBorder="1" applyAlignment="1">
      <alignment vertical="center"/>
    </xf>
    <xf numFmtId="0" fontId="35" fillId="0" borderId="0" xfId="0" applyFont="1" applyFill="1" applyBorder="1" applyAlignment="1">
      <alignment vertical="center"/>
    </xf>
    <xf numFmtId="4" fontId="9" fillId="0" borderId="0" xfId="0" applyNumberFormat="1" applyFont="1" applyBorder="1" applyAlignment="1">
      <alignment vertical="center"/>
    </xf>
    <xf numFmtId="4" fontId="57" fillId="28" borderId="12" xfId="19" applyNumberFormat="1" applyFont="1" applyFill="1" applyBorder="1" applyAlignment="1">
      <alignment vertical="center"/>
    </xf>
    <xf numFmtId="4" fontId="57" fillId="28" borderId="34" xfId="19" applyNumberFormat="1" applyFont="1" applyFill="1" applyBorder="1" applyAlignment="1">
      <alignment vertical="center"/>
    </xf>
    <xf numFmtId="4" fontId="0" fillId="0" borderId="14" xfId="19" applyNumberFormat="1" applyFont="1" applyBorder="1" applyAlignment="1">
      <alignment vertical="center"/>
    </xf>
    <xf numFmtId="4" fontId="0" fillId="0" borderId="34" xfId="19" applyNumberFormat="1" applyFont="1" applyBorder="1" applyAlignment="1">
      <alignment vertical="center"/>
    </xf>
    <xf numFmtId="166" fontId="8" fillId="0" borderId="0" xfId="0" quotePrefix="1" applyNumberFormat="1" applyFont="1" applyBorder="1" applyAlignment="1">
      <alignment vertical="center"/>
    </xf>
    <xf numFmtId="0" fontId="62" fillId="0" borderId="0" xfId="0" applyFont="1" applyBorder="1" applyAlignment="1">
      <alignment horizontal="center" vertical="center" wrapText="1"/>
    </xf>
    <xf numFmtId="0" fontId="62" fillId="0" borderId="14" xfId="0" applyFont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4" fontId="25" fillId="0" borderId="12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" fontId="25" fillId="0" borderId="14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4" fontId="25" fillId="0" borderId="34" xfId="0" applyNumberFormat="1" applyFont="1" applyBorder="1" applyAlignment="1">
      <alignment horizontal="center" vertical="center"/>
    </xf>
    <xf numFmtId="166" fontId="15" fillId="29" borderId="11" xfId="0" applyNumberFormat="1" applyFont="1" applyFill="1" applyBorder="1" applyAlignment="1">
      <alignment horizontal="center" vertical="center"/>
    </xf>
    <xf numFmtId="166" fontId="15" fillId="29" borderId="12" xfId="0" applyNumberFormat="1" applyFont="1" applyFill="1" applyBorder="1" applyAlignment="1">
      <alignment horizontal="center" vertical="center"/>
    </xf>
    <xf numFmtId="166" fontId="15" fillId="29" borderId="48" xfId="0" applyNumberFormat="1" applyFont="1" applyFill="1" applyBorder="1" applyAlignment="1">
      <alignment horizontal="center" vertical="center"/>
    </xf>
    <xf numFmtId="166" fontId="15" fillId="29" borderId="49" xfId="0" applyNumberFormat="1" applyFont="1" applyFill="1" applyBorder="1" applyAlignment="1">
      <alignment horizontal="center" vertical="center"/>
    </xf>
    <xf numFmtId="0" fontId="63" fillId="0" borderId="10" xfId="0" applyFont="1" applyBorder="1" applyAlignment="1">
      <alignment horizontal="left" vertical="center" wrapText="1"/>
    </xf>
    <xf numFmtId="0" fontId="63" fillId="0" borderId="11" xfId="0" applyFont="1" applyBorder="1" applyAlignment="1">
      <alignment horizontal="left" vertical="center" wrapText="1"/>
    </xf>
    <xf numFmtId="0" fontId="63" fillId="0" borderId="12" xfId="0" applyFont="1" applyBorder="1" applyAlignment="1">
      <alignment horizontal="left" vertical="center" wrapText="1"/>
    </xf>
    <xf numFmtId="0" fontId="63" fillId="0" borderId="13" xfId="0" applyFont="1" applyBorder="1" applyAlignment="1">
      <alignment horizontal="left" vertical="center" wrapText="1"/>
    </xf>
    <xf numFmtId="0" fontId="63" fillId="0" borderId="0" xfId="0" applyFont="1" applyBorder="1" applyAlignment="1">
      <alignment horizontal="left" vertical="center" wrapText="1"/>
    </xf>
    <xf numFmtId="0" fontId="63" fillId="0" borderId="14" xfId="0" applyFont="1" applyBorder="1" applyAlignment="1">
      <alignment horizontal="left" vertical="center" wrapText="1"/>
    </xf>
    <xf numFmtId="0" fontId="63" fillId="0" borderId="15" xfId="0" applyFont="1" applyBorder="1" applyAlignment="1">
      <alignment horizontal="left" vertical="center" wrapText="1"/>
    </xf>
    <xf numFmtId="0" fontId="63" fillId="0" borderId="33" xfId="0" applyFont="1" applyBorder="1" applyAlignment="1">
      <alignment horizontal="left" vertical="center" wrapText="1"/>
    </xf>
    <xf numFmtId="0" fontId="63" fillId="0" borderId="34" xfId="0" applyFont="1" applyBorder="1" applyAlignment="1">
      <alignment horizontal="left" vertical="center" wrapText="1"/>
    </xf>
    <xf numFmtId="0" fontId="64" fillId="0" borderId="10" xfId="0" applyFont="1" applyBorder="1" applyAlignment="1">
      <alignment horizontal="center"/>
    </xf>
    <xf numFmtId="0" fontId="64" fillId="0" borderId="12" xfId="0" applyFont="1" applyBorder="1" applyAlignment="1">
      <alignment horizontal="center"/>
    </xf>
    <xf numFmtId="0" fontId="64" fillId="0" borderId="13" xfId="0" applyFont="1" applyBorder="1" applyAlignment="1">
      <alignment horizontal="center"/>
    </xf>
    <xf numFmtId="0" fontId="64" fillId="0" borderId="14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0" borderId="34" xfId="0" applyFont="1" applyBorder="1" applyAlignment="1">
      <alignment horizont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33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180"/>
    </xf>
    <xf numFmtId="0" fontId="5" fillId="0" borderId="14" xfId="0" applyFont="1" applyBorder="1" applyAlignment="1">
      <alignment horizontal="center" vertical="center" textRotation="180"/>
    </xf>
    <xf numFmtId="0" fontId="5" fillId="0" borderId="34" xfId="0" applyFont="1" applyBorder="1" applyAlignment="1">
      <alignment horizontal="center" vertical="center" textRotation="180"/>
    </xf>
    <xf numFmtId="0" fontId="8" fillId="0" borderId="5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166" fontId="15" fillId="27" borderId="10" xfId="0" applyNumberFormat="1" applyFont="1" applyFill="1" applyBorder="1" applyAlignment="1">
      <alignment horizontal="center" vertical="center"/>
    </xf>
    <xf numFmtId="166" fontId="15" fillId="27" borderId="11" xfId="0" applyNumberFormat="1" applyFont="1" applyFill="1" applyBorder="1" applyAlignment="1">
      <alignment horizontal="center" vertical="center"/>
    </xf>
    <xf numFmtId="166" fontId="15" fillId="27" borderId="12" xfId="0" applyNumberFormat="1" applyFont="1" applyFill="1" applyBorder="1" applyAlignment="1">
      <alignment horizontal="center" vertical="center"/>
    </xf>
    <xf numFmtId="166" fontId="15" fillId="27" borderId="13" xfId="0" applyNumberFormat="1" applyFont="1" applyFill="1" applyBorder="1" applyAlignment="1">
      <alignment horizontal="center" vertical="center"/>
    </xf>
    <xf numFmtId="166" fontId="15" fillId="27" borderId="0" xfId="0" applyNumberFormat="1" applyFont="1" applyFill="1" applyBorder="1" applyAlignment="1">
      <alignment horizontal="center" vertical="center"/>
    </xf>
    <xf numFmtId="166" fontId="15" fillId="27" borderId="14" xfId="0" applyNumberFormat="1" applyFont="1" applyFill="1" applyBorder="1" applyAlignment="1">
      <alignment horizontal="center" vertical="center"/>
    </xf>
    <xf numFmtId="166" fontId="15" fillId="27" borderId="15" xfId="0" applyNumberFormat="1" applyFont="1" applyFill="1" applyBorder="1" applyAlignment="1">
      <alignment horizontal="center" vertical="center"/>
    </xf>
    <xf numFmtId="166" fontId="15" fillId="27" borderId="33" xfId="0" applyNumberFormat="1" applyFont="1" applyFill="1" applyBorder="1" applyAlignment="1">
      <alignment horizontal="center" vertical="center"/>
    </xf>
    <xf numFmtId="166" fontId="15" fillId="27" borderId="34" xfId="0" applyNumberFormat="1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43" fontId="25" fillId="0" borderId="20" xfId="19" applyNumberFormat="1" applyFont="1" applyBorder="1" applyAlignment="1">
      <alignment horizontal="center" vertical="center" wrapText="1"/>
    </xf>
    <xf numFmtId="43" fontId="25" fillId="0" borderId="39" xfId="19" applyNumberFormat="1" applyFont="1" applyBorder="1" applyAlignment="1">
      <alignment horizontal="center" vertical="center" wrapText="1"/>
    </xf>
    <xf numFmtId="4" fontId="32" fillId="0" borderId="50" xfId="19" applyNumberFormat="1" applyFont="1" applyBorder="1" applyAlignment="1">
      <alignment horizontal="center" vertical="center" wrapText="1"/>
    </xf>
    <xf numFmtId="4" fontId="32" fillId="0" borderId="54" xfId="19" applyNumberFormat="1" applyFont="1" applyBorder="1" applyAlignment="1">
      <alignment horizontal="center" vertical="center" wrapText="1"/>
    </xf>
    <xf numFmtId="0" fontId="8" fillId="28" borderId="15" xfId="0" applyFont="1" applyFill="1" applyBorder="1" applyAlignment="1">
      <alignment horizontal="center" vertical="center"/>
    </xf>
    <xf numFmtId="0" fontId="8" fillId="28" borderId="33" xfId="0" applyFont="1" applyFill="1" applyBorder="1" applyAlignment="1">
      <alignment horizontal="center" vertical="center"/>
    </xf>
    <xf numFmtId="0" fontId="8" fillId="28" borderId="34" xfId="0" applyFont="1" applyFill="1" applyBorder="1" applyAlignment="1">
      <alignment horizontal="center" vertical="center"/>
    </xf>
    <xf numFmtId="0" fontId="8" fillId="28" borderId="15" xfId="0" applyFont="1" applyFill="1" applyBorder="1" applyAlignment="1">
      <alignment horizontal="left" vertical="center"/>
    </xf>
    <xf numFmtId="0" fontId="8" fillId="28" borderId="33" xfId="0" applyFont="1" applyFill="1" applyBorder="1" applyAlignment="1">
      <alignment horizontal="left" vertical="center"/>
    </xf>
    <xf numFmtId="0" fontId="14" fillId="28" borderId="33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5" fillId="0" borderId="57" xfId="31" applyFont="1" applyBorder="1" applyAlignment="1">
      <alignment horizontal="left" vertical="center" wrapText="1"/>
    </xf>
    <xf numFmtId="0" fontId="5" fillId="0" borderId="58" xfId="31" applyFont="1" applyBorder="1" applyAlignment="1">
      <alignment horizontal="left" vertical="center" wrapText="1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43" fontId="21" fillId="0" borderId="63" xfId="19" applyNumberFormat="1" applyFont="1" applyBorder="1" applyAlignment="1">
      <alignment horizontal="center" vertical="center"/>
    </xf>
    <xf numFmtId="43" fontId="21" fillId="0" borderId="62" xfId="19" applyNumberFormat="1" applyFont="1" applyBorder="1" applyAlignment="1">
      <alignment horizontal="center" vertical="center"/>
    </xf>
    <xf numFmtId="43" fontId="21" fillId="0" borderId="61" xfId="19" applyNumberFormat="1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" fontId="0" fillId="0" borderId="62" xfId="0" applyNumberFormat="1" applyBorder="1" applyAlignment="1">
      <alignment horizontal="center" vertical="center"/>
    </xf>
    <xf numFmtId="0" fontId="16" fillId="28" borderId="10" xfId="0" applyFont="1" applyFill="1" applyBorder="1" applyAlignment="1">
      <alignment horizontal="left"/>
    </xf>
    <xf numFmtId="0" fontId="16" fillId="28" borderId="11" xfId="0" applyFont="1" applyFill="1" applyBorder="1" applyAlignment="1">
      <alignment horizontal="left"/>
    </xf>
    <xf numFmtId="0" fontId="16" fillId="28" borderId="12" xfId="0" applyFont="1" applyFill="1" applyBorder="1" applyAlignment="1">
      <alignment horizontal="left"/>
    </xf>
    <xf numFmtId="0" fontId="16" fillId="28" borderId="10" xfId="0" applyFont="1" applyFill="1" applyBorder="1" applyAlignment="1">
      <alignment horizontal="left" vertical="center"/>
    </xf>
    <xf numFmtId="0" fontId="16" fillId="28" borderId="11" xfId="0" applyFont="1" applyFill="1" applyBorder="1" applyAlignment="1">
      <alignment horizontal="left" vertical="center"/>
    </xf>
    <xf numFmtId="0" fontId="8" fillId="28" borderId="11" xfId="0" applyFont="1" applyFill="1" applyBorder="1" applyAlignment="1">
      <alignment horizontal="center" vertical="center"/>
    </xf>
    <xf numFmtId="166" fontId="65" fillId="28" borderId="61" xfId="0" applyNumberFormat="1" applyFont="1" applyFill="1" applyBorder="1" applyAlignment="1">
      <alignment horizontal="center" vertical="center"/>
    </xf>
    <xf numFmtId="166" fontId="65" fillId="28" borderId="62" xfId="0" applyNumberFormat="1" applyFont="1" applyFill="1" applyBorder="1" applyAlignment="1">
      <alignment horizontal="center" vertical="center"/>
    </xf>
    <xf numFmtId="166" fontId="66" fillId="28" borderId="61" xfId="0" applyNumberFormat="1" applyFont="1" applyFill="1" applyBorder="1" applyAlignment="1">
      <alignment horizontal="center" vertical="center"/>
    </xf>
    <xf numFmtId="166" fontId="66" fillId="28" borderId="63" xfId="0" applyNumberFormat="1" applyFont="1" applyFill="1" applyBorder="1" applyAlignment="1">
      <alignment horizontal="center" vertical="center"/>
    </xf>
    <xf numFmtId="166" fontId="66" fillId="28" borderId="62" xfId="0" applyNumberFormat="1" applyFont="1" applyFill="1" applyBorder="1" applyAlignment="1">
      <alignment horizontal="center" vertical="center"/>
    </xf>
    <xf numFmtId="0" fontId="31" fillId="28" borderId="61" xfId="0" applyFont="1" applyFill="1" applyBorder="1" applyAlignment="1">
      <alignment horizontal="center" vertical="center" wrapText="1"/>
    </xf>
    <xf numFmtId="0" fontId="31" fillId="28" borderId="63" xfId="0" applyFont="1" applyFill="1" applyBorder="1" applyAlignment="1">
      <alignment horizontal="center" vertical="center" wrapText="1"/>
    </xf>
    <xf numFmtId="0" fontId="31" fillId="28" borderId="62" xfId="0" applyFont="1" applyFill="1" applyBorder="1" applyAlignment="1">
      <alignment horizontal="center" vertical="center" wrapText="1"/>
    </xf>
    <xf numFmtId="0" fontId="8" fillId="0" borderId="6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4" fontId="8" fillId="0" borderId="12" xfId="0" applyNumberFormat="1" applyFont="1" applyBorder="1" applyAlignment="1">
      <alignment horizontal="left" vertical="center"/>
    </xf>
    <xf numFmtId="0" fontId="20" fillId="29" borderId="61" xfId="0" applyFont="1" applyFill="1" applyBorder="1" applyAlignment="1">
      <alignment horizontal="center" vertical="center"/>
    </xf>
    <xf numFmtId="0" fontId="20" fillId="29" borderId="63" xfId="0" applyFont="1" applyFill="1" applyBorder="1" applyAlignment="1">
      <alignment horizontal="center" vertical="center"/>
    </xf>
    <xf numFmtId="0" fontId="20" fillId="29" borderId="62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2" fillId="27" borderId="10" xfId="0" applyFont="1" applyFill="1" applyBorder="1" applyAlignment="1">
      <alignment horizontal="center" vertical="center" wrapText="1"/>
    </xf>
    <xf numFmtId="0" fontId="2" fillId="27" borderId="11" xfId="0" applyFont="1" applyFill="1" applyBorder="1" applyAlignment="1">
      <alignment horizontal="center" vertical="center" wrapText="1"/>
    </xf>
    <xf numFmtId="0" fontId="2" fillId="27" borderId="12" xfId="0" applyFont="1" applyFill="1" applyBorder="1" applyAlignment="1">
      <alignment horizontal="center" vertical="center" wrapText="1"/>
    </xf>
    <xf numFmtId="0" fontId="2" fillId="27" borderId="13" xfId="0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14" xfId="0" applyFont="1" applyFill="1" applyBorder="1" applyAlignment="1">
      <alignment horizontal="center" vertical="center" wrapText="1"/>
    </xf>
    <xf numFmtId="0" fontId="2" fillId="27" borderId="15" xfId="0" applyFont="1" applyFill="1" applyBorder="1" applyAlignment="1">
      <alignment horizontal="center" vertical="center" wrapText="1"/>
    </xf>
    <xf numFmtId="0" fontId="2" fillId="27" borderId="33" xfId="0" applyFont="1" applyFill="1" applyBorder="1" applyAlignment="1">
      <alignment horizontal="center" vertical="center" wrapText="1"/>
    </xf>
    <xf numFmtId="0" fontId="2" fillId="27" borderId="34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 wrapText="1"/>
    </xf>
    <xf numFmtId="0" fontId="10" fillId="26" borderId="2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</cellXfs>
  <cellStyles count="63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Comma" xfId="19" builtinId="3"/>
    <cellStyle name="Comma 2" xfId="20"/>
    <cellStyle name="Comma 2 6 2 2" xfId="21"/>
    <cellStyle name="Currency" xfId="22" builtinId="4"/>
    <cellStyle name="Normal" xfId="0" builtinId="0"/>
    <cellStyle name="Normal 2" xfId="23"/>
    <cellStyle name="Normal 2 2" xfId="24"/>
    <cellStyle name="Normal 2 2 2" xfId="25"/>
    <cellStyle name="Normal 2 2 3" xfId="26"/>
    <cellStyle name="Normal 2 5 2 2" xfId="27"/>
    <cellStyle name="Normal 3 2 2" xfId="28"/>
    <cellStyle name="Normal 4" xfId="29"/>
    <cellStyle name="Normal 6" xfId="30"/>
    <cellStyle name="Normal_Book1" xfId="31"/>
    <cellStyle name="Percent 2" xfId="32"/>
    <cellStyle name="好" xfId="33"/>
    <cellStyle name="好_PEMBAGIAN" xfId="34"/>
    <cellStyle name="差" xfId="35"/>
    <cellStyle name="差_PEMBAGIAN" xfId="36"/>
    <cellStyle name="强调文字颜色 1" xfId="37"/>
    <cellStyle name="强调文字颜色 2" xfId="38"/>
    <cellStyle name="强调文字颜色 3" xfId="39"/>
    <cellStyle name="强调文字颜色 4" xfId="40"/>
    <cellStyle name="强调文字颜色 5" xfId="41"/>
    <cellStyle name="强调文字颜色 6" xfId="42"/>
    <cellStyle name="标题" xfId="43"/>
    <cellStyle name="标题 1" xfId="44"/>
    <cellStyle name="标题 2" xfId="45"/>
    <cellStyle name="标题 3" xfId="46"/>
    <cellStyle name="标题 4" xfId="47"/>
    <cellStyle name="标题_PEMBAGIAN" xfId="48"/>
    <cellStyle name="检查单元格" xfId="49"/>
    <cellStyle name="汇总" xfId="50"/>
    <cellStyle name="汇总 2" xfId="51"/>
    <cellStyle name="注释" xfId="52"/>
    <cellStyle name="注释 2" xfId="53"/>
    <cellStyle name="注释 3" xfId="54"/>
    <cellStyle name="解释性文本" xfId="55"/>
    <cellStyle name="警告文本" xfId="56"/>
    <cellStyle name="计算" xfId="57"/>
    <cellStyle name="输入" xfId="58"/>
    <cellStyle name="输出" xfId="59"/>
    <cellStyle name="输出 2" xfId="60"/>
    <cellStyle name="适中" xfId="61"/>
    <cellStyle name="链接单元格" xfId="6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22</xdr:row>
      <xdr:rowOff>95885</xdr:rowOff>
    </xdr:from>
    <xdr:to>
      <xdr:col>2</xdr:col>
      <xdr:colOff>1056640</xdr:colOff>
      <xdr:row>24</xdr:row>
      <xdr:rowOff>228600</xdr:rowOff>
    </xdr:to>
    <xdr:sp macro="" textlink="">
      <xdr:nvSpPr>
        <xdr:cNvPr id="2" name="AutoShape 54"/>
        <xdr:cNvSpPr>
          <a:spLocks noChangeArrowheads="1"/>
        </xdr:cNvSpPr>
      </xdr:nvSpPr>
      <xdr:spPr>
        <a:xfrm>
          <a:off x="2304415" y="7258685"/>
          <a:ext cx="2541905" cy="76136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{_alejandro_}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8</xdr:col>
      <xdr:colOff>552450</xdr:colOff>
      <xdr:row>18</xdr:row>
      <xdr:rowOff>28575</xdr:rowOff>
    </xdr:from>
    <xdr:to>
      <xdr:col>11</xdr:col>
      <xdr:colOff>333375</xdr:colOff>
      <xdr:row>24</xdr:row>
      <xdr:rowOff>9525</xdr:rowOff>
    </xdr:to>
    <xdr:pic>
      <xdr:nvPicPr>
        <xdr:cNvPr id="7367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5924550"/>
          <a:ext cx="15240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506095</xdr:colOff>
      <xdr:row>18</xdr:row>
      <xdr:rowOff>140970</xdr:rowOff>
    </xdr:from>
    <xdr:to>
      <xdr:col>10</xdr:col>
      <xdr:colOff>450850</xdr:colOff>
      <xdr:row>23</xdr:row>
      <xdr:rowOff>190500</xdr:rowOff>
    </xdr:to>
    <xdr:sp macro="" textlink="">
      <xdr:nvSpPr>
        <xdr:cNvPr id="3" name="Oval 10"/>
        <xdr:cNvSpPr/>
      </xdr:nvSpPr>
      <xdr:spPr>
        <a:xfrm rot="17170614">
          <a:off x="11387455" y="6595110"/>
          <a:ext cx="1621155" cy="5238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3</xdr:col>
      <xdr:colOff>581025</xdr:colOff>
      <xdr:row>18</xdr:row>
      <xdr:rowOff>285750</xdr:rowOff>
    </xdr:from>
    <xdr:to>
      <xdr:col>4</xdr:col>
      <xdr:colOff>1028700</xdr:colOff>
      <xdr:row>22</xdr:row>
      <xdr:rowOff>142875</xdr:rowOff>
    </xdr:to>
    <xdr:pic>
      <xdr:nvPicPr>
        <xdr:cNvPr id="73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6181725"/>
          <a:ext cx="24193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28575</xdr:colOff>
      <xdr:row>20</xdr:row>
      <xdr:rowOff>161925</xdr:rowOff>
    </xdr:from>
    <xdr:to>
      <xdr:col>16</xdr:col>
      <xdr:colOff>0</xdr:colOff>
      <xdr:row>24</xdr:row>
      <xdr:rowOff>228600</xdr:rowOff>
    </xdr:to>
    <xdr:pic>
      <xdr:nvPicPr>
        <xdr:cNvPr id="73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9025" y="6686550"/>
          <a:ext cx="8667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123825</xdr:colOff>
      <xdr:row>17</xdr:row>
      <xdr:rowOff>114300</xdr:rowOff>
    </xdr:from>
    <xdr:to>
      <xdr:col>16</xdr:col>
      <xdr:colOff>295275</xdr:colOff>
      <xdr:row>19</xdr:row>
      <xdr:rowOff>180975</xdr:rowOff>
    </xdr:to>
    <xdr:pic>
      <xdr:nvPicPr>
        <xdr:cNvPr id="7367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8475" y="5648325"/>
          <a:ext cx="17526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17</xdr:row>
      <xdr:rowOff>200025</xdr:rowOff>
    </xdr:from>
    <xdr:to>
      <xdr:col>7</xdr:col>
      <xdr:colOff>228600</xdr:colOff>
      <xdr:row>24</xdr:row>
      <xdr:rowOff>190500</xdr:rowOff>
    </xdr:to>
    <xdr:pic>
      <xdr:nvPicPr>
        <xdr:cNvPr id="7367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5734050"/>
          <a:ext cx="124777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39</xdr:row>
      <xdr:rowOff>9525</xdr:rowOff>
    </xdr:from>
    <xdr:to>
      <xdr:col>4</xdr:col>
      <xdr:colOff>228600</xdr:colOff>
      <xdr:row>46</xdr:row>
      <xdr:rowOff>9525</xdr:rowOff>
    </xdr:to>
    <xdr:pic>
      <xdr:nvPicPr>
        <xdr:cNvPr id="7367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2687300"/>
          <a:ext cx="214312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426720</xdr:colOff>
      <xdr:row>46</xdr:row>
      <xdr:rowOff>101600</xdr:rowOff>
    </xdr:from>
    <xdr:ext cx="2122453" cy="506730"/>
    <xdr:sp macro="" textlink="">
      <xdr:nvSpPr>
        <xdr:cNvPr id="4" name="TextBox 32"/>
        <xdr:cNvSpPr txBox="1"/>
      </xdr:nvSpPr>
      <xdr:spPr>
        <a:xfrm>
          <a:off x="7529195" y="14446250"/>
          <a:ext cx="2122170" cy="50673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1</xdr:col>
      <xdr:colOff>238125</xdr:colOff>
      <xdr:row>39</xdr:row>
      <xdr:rowOff>28575</xdr:rowOff>
    </xdr:from>
    <xdr:to>
      <xdr:col>2</xdr:col>
      <xdr:colOff>838200</xdr:colOff>
      <xdr:row>49</xdr:row>
      <xdr:rowOff>190500</xdr:rowOff>
    </xdr:to>
    <xdr:pic>
      <xdr:nvPicPr>
        <xdr:cNvPr id="7368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2706350"/>
          <a:ext cx="2228850" cy="252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18</xdr:row>
      <xdr:rowOff>38100</xdr:rowOff>
    </xdr:from>
    <xdr:to>
      <xdr:col>2</xdr:col>
      <xdr:colOff>657225</xdr:colOff>
      <xdr:row>19</xdr:row>
      <xdr:rowOff>266700</xdr:rowOff>
    </xdr:to>
    <xdr:pic>
      <xdr:nvPicPr>
        <xdr:cNvPr id="73682" name="Picture 4" descr="Tracce logo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5934075"/>
          <a:ext cx="17240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39</xdr:row>
      <xdr:rowOff>180975</xdr:rowOff>
    </xdr:from>
    <xdr:to>
      <xdr:col>0</xdr:col>
      <xdr:colOff>1876425</xdr:colOff>
      <xdr:row>49</xdr:row>
      <xdr:rowOff>38100</xdr:rowOff>
    </xdr:to>
    <xdr:pic>
      <xdr:nvPicPr>
        <xdr:cNvPr id="73683" name="Picture 4" descr="DUSTBAG TR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858750"/>
          <a:ext cx="16287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52"/>
  <sheetViews>
    <sheetView tabSelected="1" zoomScale="43" zoomScaleNormal="34" workbookViewId="0">
      <selection activeCell="D6" sqref="D6"/>
    </sheetView>
  </sheetViews>
  <sheetFormatPr defaultColWidth="11.453125" defaultRowHeight="18"/>
  <cols>
    <col min="1" max="1" width="32.453125" style="2" customWidth="1"/>
    <col min="2" max="2" width="24.453125" style="2" customWidth="1"/>
    <col min="3" max="3" width="20.1796875" style="2" customWidth="1"/>
    <col min="4" max="4" width="29.54296875" style="3" customWidth="1"/>
    <col min="5" max="5" width="26.81640625" style="2" customWidth="1"/>
    <col min="6" max="6" width="13" style="2" customWidth="1"/>
    <col min="7" max="7" width="7.7265625" style="2" customWidth="1"/>
    <col min="8" max="14" width="8.7265625" style="2" customWidth="1"/>
    <col min="15" max="15" width="10.26953125" style="2" customWidth="1"/>
    <col min="16" max="16" width="13.453125" style="2" customWidth="1"/>
    <col min="17" max="17" width="19.54296875" style="4" bestFit="1" customWidth="1"/>
    <col min="18" max="18" width="12.26953125" style="5" customWidth="1"/>
    <col min="19" max="19" width="20.26953125" style="6" customWidth="1"/>
    <col min="20" max="20" width="11.453125" style="7"/>
    <col min="21" max="16384" width="11.453125" style="2"/>
  </cols>
  <sheetData>
    <row r="1" spans="1:21" ht="23">
      <c r="A1" s="281" t="s">
        <v>0</v>
      </c>
      <c r="B1" s="281"/>
      <c r="C1" s="281"/>
      <c r="D1" s="8"/>
      <c r="E1" s="9"/>
      <c r="F1" s="9"/>
      <c r="G1" s="8"/>
      <c r="K1" s="282" t="s">
        <v>1</v>
      </c>
      <c r="L1" s="282"/>
      <c r="M1" s="282"/>
      <c r="N1" s="282"/>
      <c r="O1" s="282"/>
      <c r="P1" s="282"/>
      <c r="Q1" s="283"/>
      <c r="R1" s="83"/>
    </row>
    <row r="2" spans="1:21" ht="23.25" customHeight="1">
      <c r="A2" s="10" t="s">
        <v>2</v>
      </c>
      <c r="B2" s="11" t="s">
        <v>50</v>
      </c>
      <c r="C2" s="12"/>
      <c r="D2" s="13"/>
      <c r="E2" s="284"/>
      <c r="F2" s="284"/>
      <c r="G2" s="284"/>
      <c r="H2" s="284"/>
      <c r="K2" s="285" t="s">
        <v>3</v>
      </c>
      <c r="L2" s="285"/>
      <c r="M2" s="285"/>
      <c r="N2" s="285"/>
      <c r="O2" s="285"/>
      <c r="P2" s="285"/>
      <c r="Q2" s="286"/>
      <c r="R2" s="84"/>
    </row>
    <row r="3" spans="1:21" ht="21.75" customHeight="1">
      <c r="A3" s="14"/>
      <c r="B3" s="15"/>
      <c r="C3" s="16"/>
      <c r="E3" s="287" t="s">
        <v>4</v>
      </c>
      <c r="F3" s="287"/>
      <c r="G3" s="287"/>
      <c r="H3" s="287"/>
      <c r="K3" s="288" t="s">
        <v>5</v>
      </c>
      <c r="L3" s="288"/>
      <c r="M3" s="288"/>
      <c r="N3" s="288"/>
      <c r="O3" s="288"/>
      <c r="P3" s="288"/>
      <c r="Q3" s="289"/>
      <c r="R3" s="85"/>
    </row>
    <row r="4" spans="1:21" ht="21.75" customHeight="1">
      <c r="A4" s="14" t="s">
        <v>6</v>
      </c>
      <c r="B4" s="137"/>
      <c r="C4" s="17"/>
      <c r="E4" s="280"/>
      <c r="F4" s="280"/>
      <c r="G4" s="280"/>
      <c r="H4" s="280"/>
      <c r="K4" s="278" t="s">
        <v>7</v>
      </c>
      <c r="L4" s="278"/>
      <c r="M4" s="278"/>
      <c r="N4" s="278"/>
      <c r="O4" s="278"/>
      <c r="P4" s="278"/>
      <c r="Q4" s="279"/>
      <c r="R4" s="86"/>
    </row>
    <row r="5" spans="1:21" ht="21.75" customHeight="1">
      <c r="A5" s="14" t="s">
        <v>8</v>
      </c>
      <c r="B5" s="290" t="s">
        <v>9</v>
      </c>
      <c r="C5" s="291"/>
      <c r="D5" s="19"/>
      <c r="E5" s="280"/>
      <c r="F5" s="280"/>
      <c r="G5" s="280"/>
      <c r="H5" s="280"/>
      <c r="K5" s="278" t="s">
        <v>51</v>
      </c>
      <c r="L5" s="278"/>
      <c r="M5" s="278"/>
      <c r="N5" s="278"/>
      <c r="O5" s="278"/>
      <c r="P5" s="278"/>
      <c r="Q5" s="279"/>
      <c r="R5" s="86"/>
    </row>
    <row r="6" spans="1:21" ht="21.75" customHeight="1">
      <c r="A6" s="20"/>
      <c r="B6" s="276"/>
      <c r="C6" s="277"/>
      <c r="D6" s="19"/>
      <c r="E6" s="280"/>
      <c r="F6" s="280"/>
      <c r="G6" s="280"/>
      <c r="H6" s="280"/>
      <c r="K6" s="278"/>
      <c r="L6" s="278"/>
      <c r="M6" s="278"/>
      <c r="N6" s="278"/>
      <c r="O6" s="278"/>
      <c r="P6" s="278"/>
      <c r="Q6" s="279"/>
      <c r="R6" s="86"/>
    </row>
    <row r="8" spans="1:21" ht="15.75" customHeight="1">
      <c r="A8" s="226" t="s">
        <v>10</v>
      </c>
      <c r="B8" s="192" t="s">
        <v>11</v>
      </c>
      <c r="C8" s="192" t="s">
        <v>12</v>
      </c>
      <c r="D8" s="192" t="s">
        <v>13</v>
      </c>
      <c r="E8" s="196" t="s">
        <v>14</v>
      </c>
      <c r="F8" s="183" t="s">
        <v>15</v>
      </c>
      <c r="G8" s="186" t="s">
        <v>16</v>
      </c>
      <c r="H8" s="140"/>
      <c r="I8" s="141"/>
      <c r="J8" s="141"/>
      <c r="K8" s="141"/>
      <c r="L8" s="141"/>
      <c r="M8" s="141"/>
      <c r="N8" s="142"/>
      <c r="O8" s="214" t="s">
        <v>17</v>
      </c>
      <c r="P8" s="216" t="s">
        <v>18</v>
      </c>
      <c r="Q8" s="218" t="s">
        <v>19</v>
      </c>
      <c r="R8" s="116"/>
      <c r="S8" s="116"/>
      <c r="T8" s="116"/>
      <c r="U8" s="38"/>
    </row>
    <row r="9" spans="1:21" ht="21" customHeight="1">
      <c r="A9" s="227"/>
      <c r="B9" s="194"/>
      <c r="C9" s="193"/>
      <c r="D9" s="194"/>
      <c r="E9" s="197"/>
      <c r="F9" s="184"/>
      <c r="G9" s="187"/>
      <c r="H9" s="143"/>
      <c r="I9" s="144"/>
      <c r="J9" s="144"/>
      <c r="K9" s="144"/>
      <c r="L9" s="144"/>
      <c r="M9" s="144"/>
      <c r="N9" s="145"/>
      <c r="O9" s="215"/>
      <c r="P9" s="217"/>
      <c r="Q9" s="219"/>
      <c r="R9" s="116"/>
      <c r="S9" s="116"/>
      <c r="T9" s="116"/>
      <c r="U9" s="38"/>
    </row>
    <row r="10" spans="1:21" ht="18.75" customHeight="1">
      <c r="A10" s="228"/>
      <c r="B10" s="22" t="s">
        <v>20</v>
      </c>
      <c r="C10" s="22" t="s">
        <v>21</v>
      </c>
      <c r="D10" s="195"/>
      <c r="E10" s="198"/>
      <c r="F10" s="185"/>
      <c r="G10" s="188"/>
      <c r="H10" s="146"/>
      <c r="I10" s="147"/>
      <c r="J10" s="147"/>
      <c r="K10" s="147"/>
      <c r="L10" s="147"/>
      <c r="M10" s="147"/>
      <c r="N10" s="148"/>
      <c r="O10" s="87" t="s">
        <v>22</v>
      </c>
      <c r="P10" s="88" t="s">
        <v>23</v>
      </c>
      <c r="Q10" s="117" t="s">
        <v>23</v>
      </c>
      <c r="R10" s="116"/>
      <c r="S10" s="116"/>
      <c r="T10" s="116"/>
      <c r="U10" s="38"/>
    </row>
    <row r="11" spans="1:21" s="1" customFormat="1" ht="37.5" customHeight="1">
      <c r="A11" s="229"/>
      <c r="B11" s="23"/>
      <c r="C11" s="24"/>
      <c r="D11" s="21"/>
      <c r="E11" s="25"/>
      <c r="F11" s="26" t="s">
        <v>24</v>
      </c>
      <c r="G11" s="189" t="s">
        <v>25</v>
      </c>
      <c r="H11" s="143" t="s">
        <v>26</v>
      </c>
      <c r="I11" s="144"/>
      <c r="J11" s="144"/>
      <c r="K11" s="144"/>
      <c r="L11" s="144"/>
      <c r="M11" s="144"/>
      <c r="N11" s="145"/>
      <c r="O11" s="89"/>
      <c r="P11" s="90"/>
      <c r="Q11" s="118">
        <f>P11*O11</f>
        <v>0</v>
      </c>
      <c r="R11" s="116"/>
      <c r="S11" s="116"/>
      <c r="T11" s="116"/>
      <c r="U11" s="119"/>
    </row>
    <row r="12" spans="1:21" s="1" customFormat="1" ht="33" customHeight="1">
      <c r="A12" s="230"/>
      <c r="B12" s="27"/>
      <c r="C12" s="28"/>
      <c r="D12" s="29"/>
      <c r="E12" s="30"/>
      <c r="F12" s="31" t="s">
        <v>24</v>
      </c>
      <c r="G12" s="190"/>
      <c r="H12" s="143"/>
      <c r="I12" s="144"/>
      <c r="J12" s="144"/>
      <c r="K12" s="144"/>
      <c r="L12" s="144"/>
      <c r="M12" s="144"/>
      <c r="N12" s="145"/>
      <c r="O12" s="91"/>
      <c r="P12" s="92"/>
      <c r="Q12" s="120">
        <f>P12*O12</f>
        <v>0</v>
      </c>
      <c r="R12" s="116"/>
      <c r="S12" s="116"/>
      <c r="T12" s="116"/>
      <c r="U12" s="119"/>
    </row>
    <row r="13" spans="1:21" s="1" customFormat="1" ht="27.75" customHeight="1">
      <c r="A13" s="32"/>
      <c r="B13" s="27"/>
      <c r="C13" s="28"/>
      <c r="D13" s="29"/>
      <c r="E13" s="30"/>
      <c r="F13" s="31"/>
      <c r="G13" s="190"/>
      <c r="H13" s="143"/>
      <c r="I13" s="144"/>
      <c r="J13" s="144"/>
      <c r="K13" s="144"/>
      <c r="L13" s="144"/>
      <c r="M13" s="144"/>
      <c r="N13" s="145"/>
      <c r="O13" s="91"/>
      <c r="P13" s="92"/>
      <c r="Q13" s="120"/>
      <c r="R13" s="116"/>
      <c r="S13" s="116"/>
      <c r="T13" s="116"/>
      <c r="U13" s="119"/>
    </row>
    <row r="14" spans="1:21" s="1" customFormat="1" ht="38.25" customHeight="1">
      <c r="A14" s="33"/>
      <c r="B14" s="34"/>
      <c r="C14" s="34"/>
      <c r="D14" s="35"/>
      <c r="E14" s="36"/>
      <c r="F14" s="37"/>
      <c r="G14" s="191"/>
      <c r="H14" s="146"/>
      <c r="I14" s="147"/>
      <c r="J14" s="147"/>
      <c r="K14" s="147"/>
      <c r="L14" s="147"/>
      <c r="M14" s="147"/>
      <c r="N14" s="148"/>
      <c r="O14" s="93"/>
      <c r="P14" s="94"/>
      <c r="Q14" s="121"/>
      <c r="R14" s="116"/>
      <c r="S14" s="116"/>
      <c r="T14" s="116"/>
      <c r="U14" s="119"/>
    </row>
    <row r="15" spans="1:21" s="1" customFormat="1" ht="27.75" customHeight="1">
      <c r="A15" s="38"/>
      <c r="B15" s="38"/>
      <c r="C15" s="38"/>
      <c r="D15" s="38"/>
      <c r="E15" s="39"/>
      <c r="F15" s="38"/>
      <c r="G15" s="38"/>
      <c r="H15" s="38"/>
      <c r="I15" s="38"/>
      <c r="J15" s="38"/>
      <c r="K15" s="38"/>
      <c r="L15" s="38"/>
      <c r="M15" s="38"/>
      <c r="N15" s="38"/>
      <c r="O15" s="95">
        <f>SUM(O11:O14)</f>
        <v>0</v>
      </c>
      <c r="P15" s="96"/>
      <c r="Q15" s="122">
        <f>SUM(Q11:Q14)</f>
        <v>0</v>
      </c>
      <c r="R15" s="123"/>
      <c r="S15" s="123"/>
      <c r="T15" s="123"/>
      <c r="U15" s="119"/>
    </row>
    <row r="16" spans="1:21" ht="27.75" customHeight="1">
      <c r="A16" s="38"/>
      <c r="B16" s="38"/>
      <c r="C16" s="38"/>
      <c r="D16" s="39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65"/>
      <c r="P16" s="97"/>
      <c r="Q16" s="124"/>
      <c r="R16" s="97"/>
      <c r="S16" s="97"/>
      <c r="T16" s="125"/>
      <c r="U16" s="38"/>
    </row>
    <row r="17" spans="1:23" ht="36.75" customHeight="1">
      <c r="A17" s="40" t="s">
        <v>27</v>
      </c>
      <c r="B17" s="158"/>
      <c r="C17" s="159"/>
      <c r="D17" s="245" t="s">
        <v>28</v>
      </c>
      <c r="E17" s="246"/>
      <c r="F17" s="247" t="s">
        <v>24</v>
      </c>
      <c r="G17" s="248"/>
      <c r="H17" s="249"/>
      <c r="I17" s="247" t="s">
        <v>29</v>
      </c>
      <c r="J17" s="248"/>
      <c r="K17" s="248"/>
      <c r="L17" s="248"/>
      <c r="M17" s="249"/>
      <c r="N17" s="250" t="s">
        <v>30</v>
      </c>
      <c r="O17" s="251"/>
      <c r="P17" s="251"/>
      <c r="Q17" s="252"/>
      <c r="T17" s="105"/>
      <c r="U17" s="126"/>
    </row>
    <row r="18" spans="1:23" ht="28.5" customHeight="1">
      <c r="A18" s="41" t="s">
        <v>31</v>
      </c>
      <c r="B18" s="160"/>
      <c r="C18" s="161"/>
      <c r="D18" s="42"/>
      <c r="E18" s="43"/>
      <c r="F18" s="205"/>
      <c r="G18" s="206"/>
      <c r="H18" s="207"/>
      <c r="I18" s="98"/>
      <c r="J18" s="98"/>
      <c r="K18" s="98"/>
      <c r="L18" s="98"/>
      <c r="M18" s="99"/>
      <c r="N18" s="267"/>
      <c r="O18" s="268"/>
      <c r="P18" s="268"/>
      <c r="Q18" s="269"/>
      <c r="T18" s="127"/>
      <c r="U18" s="128"/>
      <c r="V18" s="38"/>
    </row>
    <row r="19" spans="1:23" ht="24.75" customHeight="1">
      <c r="A19" s="44" t="s">
        <v>32</v>
      </c>
      <c r="B19" s="259"/>
      <c r="C19" s="260"/>
      <c r="D19" s="45"/>
      <c r="E19" s="46"/>
      <c r="F19" s="208"/>
      <c r="G19" s="209"/>
      <c r="H19" s="210"/>
      <c r="I19" s="100"/>
      <c r="J19" s="100"/>
      <c r="K19" s="100"/>
      <c r="L19" s="100"/>
      <c r="M19" s="101"/>
      <c r="N19" s="270"/>
      <c r="O19" s="271"/>
      <c r="P19" s="271"/>
      <c r="Q19" s="272"/>
      <c r="T19" s="105"/>
      <c r="U19" s="126"/>
      <c r="V19" s="38"/>
      <c r="W19" s="38"/>
    </row>
    <row r="20" spans="1:23" ht="24.75" customHeight="1">
      <c r="A20" s="47" t="s">
        <v>33</v>
      </c>
      <c r="B20" s="261"/>
      <c r="C20" s="262"/>
      <c r="D20" s="45"/>
      <c r="E20" s="46"/>
      <c r="F20" s="208"/>
      <c r="G20" s="209"/>
      <c r="H20" s="210"/>
      <c r="I20" s="100"/>
      <c r="J20" s="100"/>
      <c r="K20" s="100"/>
      <c r="L20" s="100"/>
      <c r="M20" s="101"/>
      <c r="N20" s="270"/>
      <c r="O20" s="271"/>
      <c r="P20" s="271"/>
      <c r="Q20" s="272"/>
      <c r="T20" s="108"/>
      <c r="U20" s="126"/>
      <c r="V20" s="129"/>
      <c r="W20" s="129"/>
    </row>
    <row r="21" spans="1:23" ht="24.75" customHeight="1">
      <c r="A21" s="48" t="s">
        <v>34</v>
      </c>
      <c r="B21" s="263" t="s">
        <v>35</v>
      </c>
      <c r="C21" s="264"/>
      <c r="D21" s="49"/>
      <c r="E21" s="46"/>
      <c r="F21" s="208"/>
      <c r="G21" s="209"/>
      <c r="H21" s="210"/>
      <c r="I21" s="100"/>
      <c r="J21" s="100"/>
      <c r="K21" s="100"/>
      <c r="L21" s="100"/>
      <c r="M21" s="101"/>
      <c r="N21" s="270"/>
      <c r="O21" s="271"/>
      <c r="P21" s="271"/>
      <c r="Q21" s="272"/>
      <c r="T21" s="108"/>
      <c r="U21" s="126"/>
      <c r="V21" s="129"/>
      <c r="W21" s="129"/>
    </row>
    <row r="22" spans="1:23" ht="24.75" customHeight="1">
      <c r="A22" s="50"/>
      <c r="B22" s="265"/>
      <c r="C22" s="266"/>
      <c r="D22" s="49"/>
      <c r="E22" s="46"/>
      <c r="F22" s="208"/>
      <c r="G22" s="209"/>
      <c r="H22" s="210"/>
      <c r="I22" s="100"/>
      <c r="J22" s="100"/>
      <c r="K22" s="100"/>
      <c r="L22" s="100"/>
      <c r="M22" s="101"/>
      <c r="N22" s="270"/>
      <c r="O22" s="271"/>
      <c r="P22" s="271"/>
      <c r="Q22" s="272"/>
      <c r="T22" s="108"/>
      <c r="U22" s="126"/>
      <c r="V22" s="129"/>
      <c r="W22" s="129"/>
    </row>
    <row r="23" spans="1:23" ht="24.75" customHeight="1">
      <c r="A23" s="51" t="s">
        <v>36</v>
      </c>
      <c r="B23" s="52"/>
      <c r="C23" s="53"/>
      <c r="D23" s="45"/>
      <c r="E23" s="46"/>
      <c r="F23" s="208"/>
      <c r="G23" s="209"/>
      <c r="H23" s="210"/>
      <c r="I23" s="100"/>
      <c r="J23" s="100"/>
      <c r="K23" s="100"/>
      <c r="L23" s="100"/>
      <c r="M23" s="101"/>
      <c r="N23" s="270"/>
      <c r="O23" s="271"/>
      <c r="P23" s="271"/>
      <c r="Q23" s="272"/>
      <c r="T23" s="108"/>
      <c r="U23" s="130"/>
      <c r="V23" s="129"/>
      <c r="W23" s="129"/>
    </row>
    <row r="24" spans="1:23" ht="24.75" customHeight="1">
      <c r="A24" s="54" t="s">
        <v>37</v>
      </c>
      <c r="B24" s="55"/>
      <c r="C24" s="56"/>
      <c r="D24" s="57"/>
      <c r="E24" s="46"/>
      <c r="F24" s="208"/>
      <c r="G24" s="209"/>
      <c r="H24" s="210"/>
      <c r="I24" s="100"/>
      <c r="J24" s="100"/>
      <c r="K24" s="100"/>
      <c r="L24" s="100"/>
      <c r="M24" s="101"/>
      <c r="N24" s="270"/>
      <c r="O24" s="271"/>
      <c r="P24" s="271"/>
      <c r="Q24" s="272"/>
      <c r="T24" s="108"/>
      <c r="U24" s="130"/>
      <c r="V24" s="129"/>
      <c r="W24" s="129"/>
    </row>
    <row r="25" spans="1:23" ht="24.75" customHeight="1">
      <c r="A25" s="58"/>
      <c r="B25" s="59"/>
      <c r="C25" s="60"/>
      <c r="D25" s="61"/>
      <c r="E25" s="62"/>
      <c r="F25" s="211"/>
      <c r="G25" s="212"/>
      <c r="H25" s="213"/>
      <c r="I25" s="102"/>
      <c r="J25" s="102"/>
      <c r="K25" s="102"/>
      <c r="L25" s="102"/>
      <c r="M25" s="103"/>
      <c r="N25" s="273"/>
      <c r="O25" s="274"/>
      <c r="P25" s="274"/>
      <c r="Q25" s="275"/>
      <c r="T25" s="108"/>
      <c r="U25" s="130"/>
      <c r="V25" s="131"/>
      <c r="W25" s="131"/>
    </row>
    <row r="26" spans="1:23" ht="24.75" customHeight="1">
      <c r="A26" s="63"/>
      <c r="B26" s="18"/>
      <c r="C26" s="18"/>
      <c r="D26" s="64"/>
      <c r="E26" s="38"/>
      <c r="F26" s="38"/>
      <c r="G26" s="38"/>
      <c r="H26" s="65"/>
      <c r="I26" s="65"/>
      <c r="J26" s="38"/>
      <c r="K26" s="38"/>
      <c r="L26" s="38"/>
      <c r="M26" s="38"/>
      <c r="N26" s="38"/>
      <c r="O26" s="67"/>
      <c r="P26" s="67"/>
      <c r="Q26" s="132"/>
      <c r="R26" s="67"/>
      <c r="S26" s="67"/>
      <c r="T26" s="67"/>
      <c r="U26" s="128"/>
      <c r="V26" s="38"/>
    </row>
    <row r="27" spans="1:23" ht="28.5" customHeight="1">
      <c r="A27" s="253" t="s">
        <v>38</v>
      </c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5"/>
      <c r="R27" s="105"/>
      <c r="S27" s="126"/>
    </row>
    <row r="28" spans="1:23" ht="36.75" customHeight="1">
      <c r="A28" s="256">
        <f>C11</f>
        <v>0</v>
      </c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8"/>
      <c r="R28" s="127"/>
      <c r="S28" s="128"/>
    </row>
    <row r="29" spans="1:23" ht="24.75" customHeight="1">
      <c r="A29" s="171"/>
      <c r="B29" s="172"/>
      <c r="C29" s="177"/>
      <c r="D29" s="178"/>
      <c r="E29" s="199"/>
      <c r="F29" s="199"/>
      <c r="G29" s="200"/>
      <c r="H29" s="162"/>
      <c r="I29" s="163"/>
      <c r="J29" s="163"/>
      <c r="K29" s="163"/>
      <c r="L29" s="163"/>
      <c r="M29" s="164"/>
      <c r="N29" s="149"/>
      <c r="O29" s="150"/>
      <c r="P29" s="150"/>
      <c r="Q29" s="151"/>
      <c r="R29" s="105"/>
      <c r="S29" s="126"/>
    </row>
    <row r="30" spans="1:23" ht="24.75" customHeight="1">
      <c r="A30" s="173"/>
      <c r="B30" s="174"/>
      <c r="C30" s="179"/>
      <c r="D30" s="180"/>
      <c r="E30" s="201"/>
      <c r="F30" s="201"/>
      <c r="G30" s="202"/>
      <c r="H30" s="165"/>
      <c r="I30" s="166"/>
      <c r="J30" s="166"/>
      <c r="K30" s="166"/>
      <c r="L30" s="166"/>
      <c r="M30" s="167"/>
      <c r="N30" s="152"/>
      <c r="O30" s="153"/>
      <c r="P30" s="153"/>
      <c r="Q30" s="154"/>
      <c r="R30" s="108"/>
      <c r="S30" s="126"/>
    </row>
    <row r="31" spans="1:23" ht="24.75" customHeight="1">
      <c r="A31" s="173"/>
      <c r="B31" s="174"/>
      <c r="C31" s="179"/>
      <c r="D31" s="180"/>
      <c r="E31" s="201"/>
      <c r="F31" s="201"/>
      <c r="G31" s="202"/>
      <c r="H31" s="165"/>
      <c r="I31" s="166"/>
      <c r="J31" s="166"/>
      <c r="K31" s="166"/>
      <c r="L31" s="166"/>
      <c r="M31" s="167"/>
      <c r="N31" s="152"/>
      <c r="O31" s="153"/>
      <c r="P31" s="153"/>
      <c r="Q31" s="154"/>
      <c r="R31" s="108"/>
      <c r="S31" s="126"/>
    </row>
    <row r="32" spans="1:23" ht="24.75" customHeight="1">
      <c r="A32" s="173"/>
      <c r="B32" s="174"/>
      <c r="C32" s="179"/>
      <c r="D32" s="180"/>
      <c r="E32" s="201"/>
      <c r="F32" s="201"/>
      <c r="G32" s="202"/>
      <c r="H32" s="165"/>
      <c r="I32" s="166"/>
      <c r="J32" s="166"/>
      <c r="K32" s="166"/>
      <c r="L32" s="166"/>
      <c r="M32" s="167"/>
      <c r="N32" s="152"/>
      <c r="O32" s="153"/>
      <c r="P32" s="153"/>
      <c r="Q32" s="154"/>
      <c r="R32" s="108"/>
      <c r="S32" s="126"/>
    </row>
    <row r="33" spans="1:19" ht="28.5" customHeight="1">
      <c r="A33" s="173"/>
      <c r="B33" s="174"/>
      <c r="C33" s="179"/>
      <c r="D33" s="180"/>
      <c r="E33" s="201"/>
      <c r="F33" s="201"/>
      <c r="G33" s="202"/>
      <c r="H33" s="165"/>
      <c r="I33" s="166"/>
      <c r="J33" s="166"/>
      <c r="K33" s="166"/>
      <c r="L33" s="166"/>
      <c r="M33" s="167"/>
      <c r="N33" s="152"/>
      <c r="O33" s="153"/>
      <c r="P33" s="153"/>
      <c r="Q33" s="154"/>
      <c r="R33" s="108"/>
      <c r="S33" s="130"/>
    </row>
    <row r="34" spans="1:19" ht="24.75" customHeight="1">
      <c r="A34" s="173"/>
      <c r="B34" s="174"/>
      <c r="C34" s="179"/>
      <c r="D34" s="180"/>
      <c r="E34" s="201"/>
      <c r="F34" s="201"/>
      <c r="G34" s="202"/>
      <c r="H34" s="165"/>
      <c r="I34" s="166"/>
      <c r="J34" s="166"/>
      <c r="K34" s="166"/>
      <c r="L34" s="166"/>
      <c r="M34" s="167"/>
      <c r="N34" s="152"/>
      <c r="O34" s="153"/>
      <c r="P34" s="153"/>
      <c r="Q34" s="154"/>
      <c r="R34" s="108"/>
      <c r="S34" s="130"/>
    </row>
    <row r="35" spans="1:19" ht="24.75" customHeight="1">
      <c r="A35" s="173"/>
      <c r="B35" s="174"/>
      <c r="C35" s="179"/>
      <c r="D35" s="180"/>
      <c r="E35" s="201"/>
      <c r="F35" s="201"/>
      <c r="G35" s="202"/>
      <c r="H35" s="165"/>
      <c r="I35" s="166"/>
      <c r="J35" s="166"/>
      <c r="K35" s="166"/>
      <c r="L35" s="166"/>
      <c r="M35" s="167"/>
      <c r="N35" s="152"/>
      <c r="O35" s="153"/>
      <c r="P35" s="153"/>
      <c r="Q35" s="154"/>
      <c r="R35" s="108"/>
      <c r="S35" s="130"/>
    </row>
    <row r="36" spans="1:19" ht="21" customHeight="1">
      <c r="A36" s="175"/>
      <c r="B36" s="176"/>
      <c r="C36" s="181"/>
      <c r="D36" s="182"/>
      <c r="E36" s="203"/>
      <c r="F36" s="203"/>
      <c r="G36" s="204"/>
      <c r="H36" s="168"/>
      <c r="I36" s="169"/>
      <c r="J36" s="169"/>
      <c r="K36" s="169"/>
      <c r="L36" s="169"/>
      <c r="M36" s="170"/>
      <c r="N36" s="155"/>
      <c r="O36" s="156"/>
      <c r="P36" s="156"/>
      <c r="Q36" s="157"/>
      <c r="R36" s="67"/>
      <c r="S36" s="128"/>
    </row>
    <row r="37" spans="1:19" ht="36" customHeight="1">
      <c r="A37" s="231">
        <f>E11</f>
        <v>0</v>
      </c>
      <c r="B37" s="232"/>
      <c r="C37" s="233">
        <f>E12</f>
        <v>0</v>
      </c>
      <c r="D37" s="234"/>
      <c r="E37" s="233">
        <f>E13</f>
        <v>0</v>
      </c>
      <c r="F37" s="233"/>
      <c r="G37" s="234"/>
      <c r="H37" s="235"/>
      <c r="I37" s="233"/>
      <c r="J37" s="233"/>
      <c r="K37" s="233"/>
      <c r="L37" s="233"/>
      <c r="M37" s="234"/>
      <c r="N37" s="236"/>
      <c r="O37" s="237"/>
      <c r="P37" s="237"/>
      <c r="Q37" s="238"/>
      <c r="R37" s="2"/>
      <c r="S37" s="2"/>
    </row>
    <row r="38" spans="1:19" ht="19">
      <c r="A38" s="239" t="s">
        <v>39</v>
      </c>
      <c r="B38" s="240"/>
      <c r="C38" s="240"/>
      <c r="D38" s="240"/>
      <c r="E38" s="240"/>
      <c r="F38" s="240"/>
      <c r="G38" s="241"/>
      <c r="H38" s="242" t="s">
        <v>40</v>
      </c>
      <c r="I38" s="243"/>
      <c r="J38" s="243"/>
      <c r="K38" s="243"/>
      <c r="L38" s="244"/>
      <c r="M38" s="244"/>
      <c r="N38" s="244"/>
      <c r="O38" s="244"/>
      <c r="P38" s="244"/>
      <c r="Q38" s="133"/>
    </row>
    <row r="39" spans="1:19">
      <c r="A39" s="220"/>
      <c r="B39" s="221"/>
      <c r="C39" s="221"/>
      <c r="D39" s="221"/>
      <c r="E39" s="221"/>
      <c r="F39" s="221"/>
      <c r="G39" s="222"/>
      <c r="H39" s="223" t="s">
        <v>41</v>
      </c>
      <c r="I39" s="224"/>
      <c r="J39" s="224"/>
      <c r="K39" s="224"/>
      <c r="L39" s="225"/>
      <c r="M39" s="225"/>
      <c r="N39" s="225"/>
      <c r="O39" s="225"/>
      <c r="P39" s="225"/>
      <c r="Q39" s="134"/>
    </row>
    <row r="40" spans="1:19" ht="19">
      <c r="A40" s="66"/>
      <c r="B40" s="67"/>
      <c r="C40" s="68"/>
      <c r="D40" s="69"/>
      <c r="E40" s="70"/>
      <c r="F40" s="71"/>
      <c r="G40" s="43"/>
      <c r="H40" s="72" t="s">
        <v>42</v>
      </c>
      <c r="I40" s="67"/>
      <c r="J40" s="67"/>
      <c r="K40" s="67"/>
      <c r="L40" s="67"/>
      <c r="M40" s="104"/>
      <c r="N40" s="67"/>
      <c r="O40" s="67"/>
      <c r="P40" s="105"/>
      <c r="Q40" s="135"/>
    </row>
    <row r="41" spans="1:19" ht="19">
      <c r="A41" s="66"/>
      <c r="B41" s="67"/>
      <c r="C41" s="67"/>
      <c r="D41" s="66"/>
      <c r="E41" s="67"/>
      <c r="F41" s="63"/>
      <c r="G41" s="46"/>
      <c r="H41" s="72" t="s">
        <v>43</v>
      </c>
      <c r="I41" s="67"/>
      <c r="J41" s="67"/>
      <c r="K41" s="67"/>
      <c r="L41" s="106"/>
      <c r="M41" s="107"/>
      <c r="N41" s="106"/>
      <c r="O41" s="106"/>
      <c r="P41" s="108"/>
      <c r="Q41" s="135"/>
    </row>
    <row r="42" spans="1:19">
      <c r="A42" s="66"/>
      <c r="B42" s="67"/>
      <c r="C42" s="67"/>
      <c r="D42" s="66"/>
      <c r="E42" s="67"/>
      <c r="F42" s="63"/>
      <c r="G42" s="46"/>
      <c r="H42" s="45"/>
      <c r="I42" s="67"/>
      <c r="J42" s="67"/>
      <c r="K42" s="67"/>
      <c r="L42" s="106"/>
      <c r="M42" s="107"/>
      <c r="N42" s="106"/>
      <c r="O42" s="106"/>
      <c r="P42" s="108"/>
      <c r="Q42" s="135"/>
    </row>
    <row r="43" spans="1:19" ht="19">
      <c r="A43" s="66"/>
      <c r="B43" s="67"/>
      <c r="C43" s="67"/>
      <c r="D43" s="66"/>
      <c r="E43" s="67"/>
      <c r="F43" s="63"/>
      <c r="G43" s="46"/>
      <c r="H43" s="72" t="s">
        <v>44</v>
      </c>
      <c r="I43" s="67"/>
      <c r="J43" s="67"/>
      <c r="K43" s="67"/>
      <c r="L43" s="106"/>
      <c r="M43" s="107"/>
      <c r="N43" s="106"/>
      <c r="O43" s="106"/>
      <c r="P43" s="108"/>
      <c r="Q43" s="135"/>
    </row>
    <row r="44" spans="1:19" ht="19">
      <c r="A44" s="66"/>
      <c r="B44" s="67"/>
      <c r="C44" s="73"/>
      <c r="D44" s="74"/>
      <c r="E44" s="67"/>
      <c r="F44" s="67"/>
      <c r="G44" s="46"/>
      <c r="H44" s="72" t="s">
        <v>45</v>
      </c>
      <c r="I44" s="67"/>
      <c r="J44" s="67"/>
      <c r="K44" s="67"/>
      <c r="L44" s="106"/>
      <c r="M44" s="107"/>
      <c r="N44" s="106"/>
      <c r="O44" s="106"/>
      <c r="P44" s="108"/>
      <c r="Q44" s="135"/>
    </row>
    <row r="45" spans="1:19">
      <c r="A45" s="66"/>
      <c r="B45" s="67"/>
      <c r="C45" s="75"/>
      <c r="D45" s="76"/>
      <c r="E45" s="67"/>
      <c r="F45" s="67"/>
      <c r="G45" s="46"/>
      <c r="H45" s="45"/>
      <c r="I45" s="67"/>
      <c r="J45" s="67"/>
      <c r="K45" s="67"/>
      <c r="L45" s="106"/>
      <c r="M45" s="109"/>
      <c r="N45" s="110"/>
      <c r="O45" s="110"/>
      <c r="P45" s="108"/>
      <c r="Q45" s="135"/>
    </row>
    <row r="46" spans="1:19" ht="19">
      <c r="A46" s="66"/>
      <c r="B46" s="67"/>
      <c r="C46" s="75"/>
      <c r="D46" s="76"/>
      <c r="E46" s="67"/>
      <c r="F46" s="67"/>
      <c r="G46" s="46"/>
      <c r="H46" s="72" t="s">
        <v>46</v>
      </c>
      <c r="I46" s="67"/>
      <c r="J46" s="67"/>
      <c r="K46" s="67"/>
      <c r="L46" s="106"/>
      <c r="M46" s="109"/>
      <c r="N46" s="110"/>
      <c r="O46" s="110"/>
      <c r="P46" s="108"/>
      <c r="Q46" s="135"/>
    </row>
    <row r="47" spans="1:19" ht="19">
      <c r="A47" s="66"/>
      <c r="B47" s="67"/>
      <c r="C47" s="75"/>
      <c r="D47" s="76"/>
      <c r="E47" s="67"/>
      <c r="F47" s="67"/>
      <c r="G47" s="46"/>
      <c r="H47" s="72" t="s">
        <v>47</v>
      </c>
      <c r="I47" s="111"/>
      <c r="J47" s="111"/>
      <c r="K47" s="111"/>
      <c r="L47" s="106"/>
      <c r="M47" s="109"/>
      <c r="N47" s="110"/>
      <c r="O47" s="110"/>
      <c r="P47" s="108"/>
      <c r="Q47" s="135"/>
    </row>
    <row r="48" spans="1:19" ht="19">
      <c r="A48" s="66"/>
      <c r="B48" s="67"/>
      <c r="C48" s="75"/>
      <c r="D48" s="76"/>
      <c r="E48" s="67"/>
      <c r="F48" s="67"/>
      <c r="G48" s="46"/>
      <c r="H48" s="72"/>
      <c r="I48" s="67"/>
      <c r="J48" s="67"/>
      <c r="K48" s="67"/>
      <c r="L48" s="106"/>
      <c r="M48" s="109"/>
      <c r="N48" s="110"/>
      <c r="O48" s="110"/>
      <c r="P48" s="108"/>
      <c r="Q48" s="135"/>
    </row>
    <row r="49" spans="1:17" ht="19">
      <c r="A49" s="66"/>
      <c r="B49" s="67"/>
      <c r="C49" s="75"/>
      <c r="D49" s="76"/>
      <c r="E49" s="67"/>
      <c r="F49" s="67"/>
      <c r="G49" s="46"/>
      <c r="H49" s="72" t="s">
        <v>48</v>
      </c>
      <c r="I49" s="67"/>
      <c r="J49" s="67"/>
      <c r="K49" s="67"/>
      <c r="L49" s="106"/>
      <c r="M49" s="109"/>
      <c r="N49" s="110"/>
      <c r="O49" s="110"/>
      <c r="P49" s="108"/>
      <c r="Q49" s="135"/>
    </row>
    <row r="50" spans="1:17">
      <c r="A50" s="66"/>
      <c r="B50" s="138"/>
      <c r="C50" s="139"/>
      <c r="D50" s="76"/>
      <c r="E50" s="67"/>
      <c r="F50" s="67"/>
      <c r="G50" s="46"/>
      <c r="H50" s="45" t="s">
        <v>49</v>
      </c>
      <c r="I50" s="67"/>
      <c r="J50" s="67"/>
      <c r="K50" s="67"/>
      <c r="L50" s="106"/>
      <c r="M50" s="109"/>
      <c r="N50" s="110"/>
      <c r="O50" s="110"/>
      <c r="P50" s="108"/>
      <c r="Q50" s="135"/>
    </row>
    <row r="51" spans="1:17">
      <c r="A51" s="66"/>
      <c r="B51" s="138"/>
      <c r="C51" s="139"/>
      <c r="D51" s="76"/>
      <c r="E51" s="67"/>
      <c r="F51" s="67"/>
      <c r="G51" s="46"/>
      <c r="H51" s="45"/>
      <c r="I51" s="67"/>
      <c r="J51" s="67"/>
      <c r="K51" s="67"/>
      <c r="L51" s="106"/>
      <c r="M51" s="109"/>
      <c r="N51" s="110"/>
      <c r="O51" s="110"/>
      <c r="P51" s="108"/>
      <c r="Q51" s="135"/>
    </row>
    <row r="52" spans="1:17">
      <c r="A52" s="77"/>
      <c r="B52" s="78"/>
      <c r="C52" s="79"/>
      <c r="D52" s="20"/>
      <c r="E52" s="80"/>
      <c r="F52" s="81"/>
      <c r="G52" s="62"/>
      <c r="H52" s="82"/>
      <c r="I52" s="112"/>
      <c r="J52" s="78"/>
      <c r="K52" s="78"/>
      <c r="L52" s="78"/>
      <c r="M52" s="113"/>
      <c r="N52" s="114"/>
      <c r="O52" s="114"/>
      <c r="P52" s="115"/>
      <c r="Q52" s="136"/>
    </row>
  </sheetData>
  <mergeCells count="57">
    <mergeCell ref="B6:C6"/>
    <mergeCell ref="K6:Q6"/>
    <mergeCell ref="E6:H6"/>
    <mergeCell ref="A1:C1"/>
    <mergeCell ref="K1:Q1"/>
    <mergeCell ref="E2:H2"/>
    <mergeCell ref="K2:Q2"/>
    <mergeCell ref="E3:H3"/>
    <mergeCell ref="K3:Q3"/>
    <mergeCell ref="E4:H4"/>
    <mergeCell ref="K4:Q4"/>
    <mergeCell ref="B5:C5"/>
    <mergeCell ref="E5:H5"/>
    <mergeCell ref="K5:Q5"/>
    <mergeCell ref="H38:K38"/>
    <mergeCell ref="L38:P38"/>
    <mergeCell ref="D17:E17"/>
    <mergeCell ref="F17:H17"/>
    <mergeCell ref="I17:M17"/>
    <mergeCell ref="N17:Q17"/>
    <mergeCell ref="A27:Q27"/>
    <mergeCell ref="A28:Q28"/>
    <mergeCell ref="B19:C20"/>
    <mergeCell ref="B21:C22"/>
    <mergeCell ref="N18:Q25"/>
    <mergeCell ref="O8:O9"/>
    <mergeCell ref="P8:P9"/>
    <mergeCell ref="Q8:Q9"/>
    <mergeCell ref="A39:C39"/>
    <mergeCell ref="D39:G39"/>
    <mergeCell ref="H39:K39"/>
    <mergeCell ref="L39:P39"/>
    <mergeCell ref="A8:A10"/>
    <mergeCell ref="A11:A12"/>
    <mergeCell ref="B8:B9"/>
    <mergeCell ref="A37:B37"/>
    <mergeCell ref="C37:D37"/>
    <mergeCell ref="E37:G37"/>
    <mergeCell ref="H37:M37"/>
    <mergeCell ref="N37:Q37"/>
    <mergeCell ref="A38:G38"/>
    <mergeCell ref="B50:C51"/>
    <mergeCell ref="H8:N10"/>
    <mergeCell ref="N29:Q36"/>
    <mergeCell ref="H11:N14"/>
    <mergeCell ref="B17:C18"/>
    <mergeCell ref="H29:M36"/>
    <mergeCell ref="A29:B36"/>
    <mergeCell ref="C29:D36"/>
    <mergeCell ref="F8:F10"/>
    <mergeCell ref="G8:G10"/>
    <mergeCell ref="G11:G14"/>
    <mergeCell ref="C8:C9"/>
    <mergeCell ref="D8:D10"/>
    <mergeCell ref="E8:E10"/>
    <mergeCell ref="E29:G36"/>
    <mergeCell ref="F18:H25"/>
  </mergeCells>
  <printOptions horizontalCentered="1" verticalCentered="1"/>
  <pageMargins left="0.27559055118110198" right="0.27559055118110198" top="0.27" bottom="0.23622047244094499" header="0" footer="0"/>
  <pageSetup paperSize="9" scale="36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CONFIRMED</vt:lpstr>
      <vt:lpstr>'PO CONFIRMED'!Print_Area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Rendy Gunawan</cp:lastModifiedBy>
  <cp:lastPrinted>2019-08-10T13:56:41Z</cp:lastPrinted>
  <dcterms:created xsi:type="dcterms:W3CDTF">2015-03-30T03:01:03Z</dcterms:created>
  <dcterms:modified xsi:type="dcterms:W3CDTF">2026-04-09T08:00:05Z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FB2E2FEB1B25420592958EE6A85ED8E9_13</vt:lpwstr>
  </property>
  <property fmtid="{D5CDD505-2E9C-101B-9397-08002B2CF9AE}" pid="3" name="KSOProductBuildVer">
    <vt:lpwstr>1033-12.2.0.19805</vt:lpwstr>
  </property>
</Properties>
</file>