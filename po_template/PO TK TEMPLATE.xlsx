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EVERBEST\NEW_GENERATOR\webapp\po_template\"/>
    </mc:Choice>
  </mc:AlternateContent>
  <xr:revisionPtr revIDLastSave="0" documentId="13_ncr:1_{16423A40-2D90-4DFA-917F-C17878F8214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O" sheetId="4" r:id="rId1"/>
    <sheet name="packing list" sheetId="18" r:id="rId2"/>
  </sheets>
  <definedNames>
    <definedName name="_xlnm.Print_Area" localSheetId="1">'packing list'!$A$1:$L$4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7" i="4" l="1"/>
  <c r="W70" i="18" l="1"/>
  <c r="T70" i="18"/>
  <c r="J70" i="18"/>
  <c r="B70" i="18"/>
  <c r="U67" i="18"/>
  <c r="H67" i="18"/>
  <c r="U66" i="18"/>
  <c r="H66" i="18"/>
  <c r="U64" i="18"/>
  <c r="H64" i="18"/>
  <c r="U63" i="18"/>
  <c r="H63" i="18"/>
  <c r="U61" i="18"/>
  <c r="H61" i="18"/>
  <c r="U60" i="18"/>
  <c r="H60" i="18"/>
  <c r="U58" i="18"/>
  <c r="H58" i="18"/>
  <c r="U57" i="18"/>
  <c r="H57" i="18"/>
  <c r="S55" i="18"/>
  <c r="S70" i="18" s="1"/>
  <c r="R55" i="18"/>
  <c r="R70" i="18" s="1"/>
  <c r="Q55" i="18"/>
  <c r="Q70" i="18" s="1"/>
  <c r="P55" i="18"/>
  <c r="P70" i="18" s="1"/>
  <c r="O55" i="18"/>
  <c r="H55" i="18"/>
  <c r="U54" i="18"/>
  <c r="X54" i="18" s="1"/>
  <c r="H54" i="18"/>
  <c r="S52" i="18"/>
  <c r="R52" i="18"/>
  <c r="Q52" i="18"/>
  <c r="P52" i="18"/>
  <c r="O52" i="18"/>
  <c r="U52" i="18" s="1"/>
  <c r="H52" i="18"/>
  <c r="U51" i="18"/>
  <c r="X51" i="18" s="1"/>
  <c r="H51" i="18"/>
  <c r="K51" i="18" s="1"/>
  <c r="S49" i="18"/>
  <c r="R49" i="18"/>
  <c r="Q49" i="18"/>
  <c r="P49" i="18"/>
  <c r="O49" i="18"/>
  <c r="U49" i="18" s="1"/>
  <c r="G49" i="18"/>
  <c r="G70" i="18" s="1"/>
  <c r="F49" i="18"/>
  <c r="F70" i="18" s="1"/>
  <c r="E49" i="18"/>
  <c r="E70" i="18" s="1"/>
  <c r="D49" i="18"/>
  <c r="C49" i="18"/>
  <c r="B49" i="18"/>
  <c r="U48" i="18"/>
  <c r="X48" i="18" s="1"/>
  <c r="H48" i="18"/>
  <c r="K48" i="18" s="1"/>
  <c r="S46" i="18"/>
  <c r="R46" i="18"/>
  <c r="Q46" i="18"/>
  <c r="P46" i="18"/>
  <c r="O46" i="18"/>
  <c r="U46" i="18" s="1"/>
  <c r="G46" i="18"/>
  <c r="F46" i="18"/>
  <c r="E46" i="18"/>
  <c r="D46" i="18"/>
  <c r="C46" i="18"/>
  <c r="B46" i="18"/>
  <c r="H46" i="18" s="1"/>
  <c r="U45" i="18"/>
  <c r="X45" i="18" s="1"/>
  <c r="H45" i="18"/>
  <c r="K45" i="18" s="1"/>
  <c r="S43" i="18"/>
  <c r="R43" i="18"/>
  <c r="Q43" i="18"/>
  <c r="P43" i="18"/>
  <c r="O43" i="18"/>
  <c r="U43" i="18" s="1"/>
  <c r="G43" i="18"/>
  <c r="F43" i="18"/>
  <c r="E43" i="18"/>
  <c r="D43" i="18"/>
  <c r="C43" i="18"/>
  <c r="C70" i="18" s="1"/>
  <c r="B43" i="18"/>
  <c r="H43" i="18" s="1"/>
  <c r="U42" i="18"/>
  <c r="X42" i="18" s="1"/>
  <c r="H42" i="18"/>
  <c r="K42" i="18" s="1"/>
  <c r="K70" i="18" s="1"/>
  <c r="C41" i="18"/>
  <c r="D41" i="18" s="1"/>
  <c r="E41" i="18" s="1"/>
  <c r="F41" i="18" s="1"/>
  <c r="G41" i="18" s="1"/>
  <c r="O41" i="18" s="1"/>
  <c r="P41" i="18" s="1"/>
  <c r="Q41" i="18" s="1"/>
  <c r="R41" i="18" s="1"/>
  <c r="S41" i="18" s="1"/>
  <c r="T41" i="18" s="1"/>
  <c r="A41" i="18"/>
  <c r="N41" i="18" s="1"/>
  <c r="W36" i="18"/>
  <c r="T36" i="18"/>
  <c r="S36" i="18"/>
  <c r="R36" i="18"/>
  <c r="Q36" i="18"/>
  <c r="P36" i="18"/>
  <c r="O36" i="18"/>
  <c r="U36" i="18" s="1"/>
  <c r="J36" i="18"/>
  <c r="G36" i="18"/>
  <c r="F36" i="18"/>
  <c r="U33" i="18"/>
  <c r="H33" i="18"/>
  <c r="U32" i="18"/>
  <c r="H32" i="18"/>
  <c r="U30" i="18"/>
  <c r="H30" i="18"/>
  <c r="U29" i="18"/>
  <c r="H29" i="18"/>
  <c r="U27" i="18"/>
  <c r="H27" i="18"/>
  <c r="U26" i="18"/>
  <c r="H26" i="18"/>
  <c r="U24" i="18"/>
  <c r="H24" i="18"/>
  <c r="U23" i="18"/>
  <c r="H23" i="18"/>
  <c r="S21" i="18"/>
  <c r="R21" i="18"/>
  <c r="Q21" i="18"/>
  <c r="P21" i="18"/>
  <c r="O21" i="18"/>
  <c r="U21" i="18" s="1"/>
  <c r="H21" i="18"/>
  <c r="U20" i="18"/>
  <c r="X20" i="18" s="1"/>
  <c r="H20" i="18"/>
  <c r="S18" i="18"/>
  <c r="R18" i="18"/>
  <c r="Q18" i="18"/>
  <c r="P18" i="18"/>
  <c r="O18" i="18"/>
  <c r="U18" i="18" s="1"/>
  <c r="G18" i="18"/>
  <c r="F18" i="18"/>
  <c r="E18" i="18"/>
  <c r="E36" i="18" s="1"/>
  <c r="D18" i="18"/>
  <c r="D36" i="18" s="1"/>
  <c r="C18" i="18"/>
  <c r="C36" i="18" s="1"/>
  <c r="B18" i="18"/>
  <c r="U17" i="18"/>
  <c r="X17" i="18" s="1"/>
  <c r="H17" i="18"/>
  <c r="K17" i="18" s="1"/>
  <c r="S15" i="18"/>
  <c r="R15" i="18"/>
  <c r="Q15" i="18"/>
  <c r="P15" i="18"/>
  <c r="O15" i="18"/>
  <c r="U15" i="18" s="1"/>
  <c r="G15" i="18"/>
  <c r="F15" i="18"/>
  <c r="E15" i="18"/>
  <c r="D15" i="18"/>
  <c r="C15" i="18"/>
  <c r="B15" i="18"/>
  <c r="H15" i="18" s="1"/>
  <c r="U14" i="18"/>
  <c r="X14" i="18" s="1"/>
  <c r="H14" i="18"/>
  <c r="K14" i="18" s="1"/>
  <c r="S12" i="18"/>
  <c r="R12" i="18"/>
  <c r="U12" i="18" s="1"/>
  <c r="Q12" i="18"/>
  <c r="P12" i="18"/>
  <c r="O12" i="18"/>
  <c r="G12" i="18"/>
  <c r="F12" i="18"/>
  <c r="E12" i="18"/>
  <c r="D12" i="18"/>
  <c r="C12" i="18"/>
  <c r="B12" i="18"/>
  <c r="H12" i="18" s="1"/>
  <c r="U11" i="18"/>
  <c r="X11" i="18" s="1"/>
  <c r="H11" i="18"/>
  <c r="K11" i="18" s="1"/>
  <c r="S9" i="18"/>
  <c r="R9" i="18"/>
  <c r="Q9" i="18"/>
  <c r="P9" i="18"/>
  <c r="O9" i="18"/>
  <c r="U9" i="18" s="1"/>
  <c r="G9" i="18"/>
  <c r="F9" i="18"/>
  <c r="E9" i="18"/>
  <c r="D9" i="18"/>
  <c r="C9" i="18"/>
  <c r="B9" i="18"/>
  <c r="H9" i="18" s="1"/>
  <c r="U8" i="18"/>
  <c r="X8" i="18" s="1"/>
  <c r="H8" i="18"/>
  <c r="K8" i="18" s="1"/>
  <c r="C7" i="18"/>
  <c r="D7" i="18" s="1"/>
  <c r="A7" i="18"/>
  <c r="N7" i="18" s="1"/>
  <c r="A6" i="18"/>
  <c r="A40" i="18" s="1"/>
  <c r="N40" i="18" s="1"/>
  <c r="A37" i="4"/>
  <c r="A28" i="4"/>
  <c r="R13" i="4"/>
  <c r="T13" i="4" s="1"/>
  <c r="R12" i="4"/>
  <c r="T12" i="4" s="1"/>
  <c r="F9" i="4"/>
  <c r="G9" i="4" s="1"/>
  <c r="H9" i="4" s="1"/>
  <c r="I9" i="4" s="1"/>
  <c r="J9" i="4" s="1"/>
  <c r="K9" i="4" s="1"/>
  <c r="L9" i="4" s="1"/>
  <c r="M9" i="4" s="1"/>
  <c r="N9" i="4" s="1"/>
  <c r="O9" i="4" s="1"/>
  <c r="P9" i="4" s="1"/>
  <c r="Q9" i="4" s="1"/>
  <c r="O70" i="18" l="1"/>
  <c r="U70" i="18" s="1"/>
  <c r="U55" i="18"/>
  <c r="D70" i="18"/>
  <c r="H49" i="18"/>
  <c r="H18" i="18"/>
  <c r="B36" i="18"/>
  <c r="H36" i="18" s="1"/>
  <c r="E7" i="18"/>
  <c r="F7" i="18" s="1"/>
  <c r="G7" i="18" s="1"/>
  <c r="O7" i="18" s="1"/>
  <c r="P7" i="18" s="1"/>
  <c r="Q7" i="18" s="1"/>
  <c r="R7" i="18" s="1"/>
  <c r="S7" i="18" s="1"/>
  <c r="T7" i="18" s="1"/>
  <c r="Q11" i="4"/>
  <c r="R11" i="4" s="1"/>
  <c r="H70" i="18"/>
  <c r="X70" i="18"/>
  <c r="X36" i="18"/>
  <c r="K36" i="18"/>
  <c r="N6" i="18"/>
  <c r="R16" i="4" l="1"/>
  <c r="T11" i="4"/>
  <c r="T16" i="4" s="1"/>
</calcChain>
</file>

<file path=xl/sharedStrings.xml><?xml version="1.0" encoding="utf-8"?>
<sst xmlns="http://schemas.openxmlformats.org/spreadsheetml/2006/main" count="177" uniqueCount="72">
  <si>
    <t>PURCHASE ORDER</t>
  </si>
  <si>
    <t xml:space="preserve">PO NO </t>
  </si>
  <si>
    <t>TRACCE</t>
  </si>
  <si>
    <t>EVERBEST TOWER - CENGKARENG BUSINESS CITY TOWER M</t>
  </si>
  <si>
    <t>Jl. Atang Sanjaya no. 21 Benda - Tangerang Banten, Indonesia</t>
  </si>
  <si>
    <t xml:space="preserve">DATE </t>
  </si>
  <si>
    <t>PHONE : 021 - 2252 9090</t>
  </si>
  <si>
    <t xml:space="preserve">TO </t>
  </si>
  <si>
    <t xml:space="preserve">: EDE </t>
  </si>
  <si>
    <t>FACTORY</t>
  </si>
  <si>
    <t>: LS</t>
  </si>
  <si>
    <t>DESCRIPTION</t>
  </si>
  <si>
    <t>SUPPLIER CODE</t>
  </si>
  <si>
    <t>LTA ARTICLE</t>
  </si>
  <si>
    <t>COLOUR</t>
  </si>
  <si>
    <t>颜色</t>
  </si>
  <si>
    <t>SIZE RANGE</t>
  </si>
  <si>
    <t>QTY PAIRS</t>
  </si>
  <si>
    <t>UNIT PRICE</t>
  </si>
  <si>
    <t>AMOUNT</t>
  </si>
  <si>
    <t>厂编号</t>
  </si>
  <si>
    <t>我司鞋编号</t>
  </si>
  <si>
    <t>US$</t>
  </si>
  <si>
    <t>AS SAMPLE</t>
  </si>
  <si>
    <t>Delivery Date</t>
  </si>
  <si>
    <t xml:space="preserve"> 交货日期 </t>
  </si>
  <si>
    <t xml:space="preserve">LOGO : </t>
  </si>
  <si>
    <t>商标</t>
  </si>
  <si>
    <t>TERM OF PAYMENT:</t>
  </si>
  <si>
    <t xml:space="preserve">CREDIT </t>
  </si>
  <si>
    <t>CARTON MARK ：</t>
  </si>
  <si>
    <t>( 箱标志 )</t>
  </si>
  <si>
    <t xml:space="preserve"> </t>
  </si>
  <si>
    <t>NOTE</t>
  </si>
  <si>
    <t>SHOE BOX BARCODE :</t>
  </si>
  <si>
    <t>PACKAGING 包装:</t>
  </si>
  <si>
    <t>LINING</t>
  </si>
  <si>
    <t>SHOE MATERIAL CODE</t>
  </si>
  <si>
    <t>QR CODE 二维码:</t>
  </si>
  <si>
    <t>(请贴这些条码在鞋盒按照图片)</t>
  </si>
  <si>
    <t>鞋盒 和 箱子 包法</t>
  </si>
  <si>
    <t>(打印在内里上）</t>
  </si>
  <si>
    <t>鞋子材料贴标</t>
  </si>
  <si>
    <t>INSOLE 垫脚</t>
  </si>
  <si>
    <t xml:space="preserve">PACKING LIST PO </t>
  </si>
  <si>
    <t>colly</t>
  </si>
  <si>
    <t>pairs</t>
  </si>
  <si>
    <t>SET A</t>
  </si>
  <si>
    <t>X</t>
  </si>
  <si>
    <t>A</t>
  </si>
  <si>
    <t>total A</t>
  </si>
  <si>
    <t>SET B</t>
  </si>
  <si>
    <t>B</t>
  </si>
  <si>
    <t>total B</t>
  </si>
  <si>
    <t>SET C</t>
  </si>
  <si>
    <t>C</t>
  </si>
  <si>
    <t>total C</t>
  </si>
  <si>
    <t>SET D</t>
  </si>
  <si>
    <t>total D</t>
  </si>
  <si>
    <t>SET E</t>
  </si>
  <si>
    <t>total E</t>
  </si>
  <si>
    <t>SET F</t>
  </si>
  <si>
    <t>total F</t>
  </si>
  <si>
    <t>SET G</t>
  </si>
  <si>
    <t>total G</t>
  </si>
  <si>
    <t>SET H</t>
  </si>
  <si>
    <t>total H</t>
  </si>
  <si>
    <t>SET R</t>
  </si>
  <si>
    <t>total R</t>
  </si>
  <si>
    <t>total PO qty</t>
  </si>
  <si>
    <t xml:space="preserve">: </t>
  </si>
  <si>
    <t>E-MAIL ADDRESS : buyer@everbestgroup.com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</si>
</sst>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[$￥-804]#,##0"/>
    <numFmt numFmtId="167" formatCode="[$-409]d\-mmm\-yy;@"/>
    <numFmt numFmtId="168" formatCode="_(* #,##0_);_(* \(#,##0\);_(* &quot;-&quot;??_);_(@_)"/>
    <numFmt numFmtId="169" formatCode="_(&quot;$&quot;* #,##0_);_(&quot;$&quot;* \(#,##0\);_(&quot;$&quot;* &quot;-&quot;??_);_(@_)"/>
  </numFmts>
  <fonts count="63">
    <font>
      <sz val="10"/>
      <name val="Arial"/>
      <charset val="134"/>
    </font>
    <font>
      <sz val="10"/>
      <color theme="0"/>
      <name val="Arial"/>
      <charset val="134"/>
    </font>
    <font>
      <sz val="14"/>
      <name val="Arial"/>
      <charset val="134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sz val="12"/>
      <name val="Trebuchet MS"/>
      <charset val="134"/>
    </font>
    <font>
      <b/>
      <sz val="14"/>
      <name val="Arial"/>
      <charset val="134"/>
    </font>
    <font>
      <sz val="18"/>
      <color indexed="9"/>
      <name val="Trebuchet MS"/>
      <charset val="134"/>
    </font>
    <font>
      <b/>
      <sz val="18"/>
      <name val="Arial"/>
      <charset val="134"/>
    </font>
    <font>
      <b/>
      <sz val="16"/>
      <name val="Trebuchet MS"/>
      <charset val="134"/>
    </font>
    <font>
      <b/>
      <sz val="16"/>
      <color indexed="16"/>
      <name val="Arial"/>
      <charset val="134"/>
    </font>
    <font>
      <b/>
      <sz val="14"/>
      <color indexed="9"/>
      <name val="Century Gothic"/>
      <charset val="134"/>
    </font>
    <font>
      <b/>
      <sz val="12"/>
      <name val="Trebuchet MS"/>
      <charset val="134"/>
    </font>
    <font>
      <sz val="10"/>
      <name val="Trebuchet MS"/>
      <charset val="134"/>
    </font>
    <font>
      <b/>
      <sz val="12"/>
      <color indexed="18"/>
      <name val="Trebuchet MS"/>
      <charset val="134"/>
    </font>
    <font>
      <b/>
      <sz val="11"/>
      <name val="Arial"/>
      <charset val="134"/>
    </font>
    <font>
      <b/>
      <sz val="12"/>
      <color rgb="FFFF0000"/>
      <name val="Arial"/>
      <charset val="134"/>
    </font>
    <font>
      <sz val="12"/>
      <name val="Comic Sans MS"/>
      <charset val="134"/>
    </font>
    <font>
      <b/>
      <sz val="12"/>
      <color theme="1"/>
      <name val="Arial"/>
      <charset val="134"/>
    </font>
    <font>
      <b/>
      <sz val="12"/>
      <name val="Comic Sans MS"/>
      <charset val="134"/>
    </font>
    <font>
      <b/>
      <sz val="36"/>
      <color indexed="10"/>
      <name val="Trebuchet MS"/>
      <charset val="134"/>
    </font>
    <font>
      <b/>
      <sz val="18"/>
      <name val="Trebuchet MS"/>
      <charset val="134"/>
    </font>
    <font>
      <b/>
      <sz val="12"/>
      <color rgb="FFFF0000"/>
      <name val="Trebuchet MS"/>
      <charset val="134"/>
    </font>
    <font>
      <b/>
      <sz val="10"/>
      <name val="Trebuchet MS"/>
      <charset val="134"/>
    </font>
    <font>
      <b/>
      <sz val="10"/>
      <color rgb="FFFF0000"/>
      <name val="Trebuchet MS"/>
      <charset val="134"/>
    </font>
    <font>
      <b/>
      <sz val="14"/>
      <color rgb="FFFF0000"/>
      <name val="Trebuchet MS"/>
      <charset val="134"/>
    </font>
    <font>
      <sz val="16"/>
      <name val="Arial"/>
      <charset val="134"/>
    </font>
    <font>
      <b/>
      <sz val="16"/>
      <name val="Arial"/>
      <charset val="134"/>
    </font>
    <font>
      <sz val="12"/>
      <name val="Arial"/>
      <charset val="134"/>
    </font>
    <font>
      <b/>
      <sz val="11"/>
      <color indexed="36"/>
      <name val="Trebuchet MS"/>
      <charset val="134"/>
    </font>
    <font>
      <sz val="9"/>
      <name val="Trebuchet MS"/>
      <charset val="134"/>
    </font>
    <font>
      <b/>
      <sz val="12"/>
      <color indexed="16"/>
      <name val="Trebuchet MS"/>
      <charset val="134"/>
    </font>
    <font>
      <sz val="9"/>
      <name val="Arial"/>
      <charset val="134"/>
    </font>
    <font>
      <sz val="11"/>
      <name val="Arial"/>
      <charset val="134"/>
    </font>
    <font>
      <b/>
      <sz val="14"/>
      <name val="Trebuchet MS"/>
      <charset val="134"/>
    </font>
    <font>
      <b/>
      <sz val="12"/>
      <name val="Century Gothic"/>
      <charset val="134"/>
    </font>
    <font>
      <b/>
      <sz val="16"/>
      <color rgb="FFFF0000"/>
      <name val="Arial"/>
      <charset val="134"/>
    </font>
    <font>
      <b/>
      <sz val="16"/>
      <name val="Century Gothic"/>
      <charset val="134"/>
    </font>
    <font>
      <b/>
      <sz val="14"/>
      <name val="Century Gothic"/>
      <charset val="134"/>
    </font>
    <font>
      <b/>
      <sz val="9"/>
      <color indexed="10"/>
      <name val="Trebuchet MS"/>
      <charset val="134"/>
    </font>
    <font>
      <b/>
      <sz val="12"/>
      <name val="Arial"/>
      <charset val="134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60"/>
      <name val="Calibri"/>
      <charset val="134"/>
    </font>
    <font>
      <b/>
      <sz val="11"/>
      <color indexed="52"/>
      <name val="Calibri"/>
      <charset val="134"/>
    </font>
    <font>
      <b/>
      <sz val="11"/>
      <color indexed="63"/>
      <name val="Calibri"/>
      <charset val="134"/>
    </font>
    <font>
      <b/>
      <sz val="11"/>
      <color indexed="56"/>
      <name val="Calibri"/>
      <charset val="134"/>
    </font>
    <font>
      <sz val="11"/>
      <color indexed="17"/>
      <name val="Calibri"/>
      <charset val="134"/>
    </font>
    <font>
      <sz val="11"/>
      <color indexed="17"/>
      <name val="宋体"/>
      <charset val="134"/>
    </font>
    <font>
      <sz val="11"/>
      <color indexed="20"/>
      <name val="Calibri"/>
      <charset val="134"/>
    </font>
    <font>
      <sz val="11"/>
      <color indexed="20"/>
      <name val="宋体"/>
      <charset val="134"/>
    </font>
    <font>
      <b/>
      <sz val="18"/>
      <color indexed="56"/>
      <name val="Cambria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8"/>
      <color indexed="56"/>
      <name val="宋体"/>
      <charset val="134"/>
    </font>
    <font>
      <b/>
      <sz val="11"/>
      <color indexed="9"/>
      <name val="Calibri"/>
      <charset val="134"/>
    </font>
    <font>
      <b/>
      <sz val="11"/>
      <color indexed="8"/>
      <name val="Calibri"/>
      <charset val="134"/>
    </font>
    <font>
      <i/>
      <sz val="11"/>
      <color indexed="23"/>
      <name val="Calibri"/>
      <charset val="134"/>
    </font>
    <font>
      <sz val="11"/>
      <color indexed="10"/>
      <name val="Calibri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0"/>
      <name val="Arial"/>
      <charset val="134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</fills>
  <borders count="7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 style="medium">
        <color auto="1"/>
      </left>
      <right/>
      <top/>
      <bottom style="dashed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68">
    <xf numFmtId="0" fontId="0" fillId="0" borderId="0"/>
    <xf numFmtId="165" fontId="62" fillId="0" borderId="0" applyFont="0" applyFill="0" applyBorder="0" applyAlignment="0" applyProtection="0"/>
    <xf numFmtId="164" fontId="62" fillId="0" borderId="0" applyFont="0" applyFill="0" applyBorder="0" applyAlignment="0" applyProtection="0"/>
    <xf numFmtId="0" fontId="42" fillId="9" borderId="0" applyNumberFormat="0" applyBorder="0" applyAlignment="0" applyProtection="0"/>
    <xf numFmtId="0" fontId="43" fillId="10" borderId="0" applyNumberFormat="0" applyBorder="0" applyAlignment="0" applyProtection="0"/>
    <xf numFmtId="0" fontId="44" fillId="11" borderId="0" applyNumberFormat="0" applyBorder="0" applyAlignment="0" applyProtection="0"/>
    <xf numFmtId="0" fontId="41" fillId="0" borderId="0"/>
    <xf numFmtId="0" fontId="45" fillId="12" borderId="64" applyNumberFormat="0" applyAlignment="0" applyProtection="0"/>
    <xf numFmtId="0" fontId="41" fillId="0" borderId="0"/>
    <xf numFmtId="0" fontId="42" fillId="13" borderId="0" applyNumberFormat="0" applyBorder="0" applyAlignment="0" applyProtection="0"/>
    <xf numFmtId="0" fontId="46" fillId="12" borderId="65" applyNumberFormat="0" applyAlignment="0" applyProtection="0"/>
    <xf numFmtId="0" fontId="42" fillId="14" borderId="0" applyNumberFormat="0" applyBorder="0" applyAlignment="0" applyProtection="0"/>
    <xf numFmtId="0" fontId="42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42" fillId="18" borderId="0" applyNumberFormat="0" applyBorder="0" applyAlignment="0" applyProtection="0"/>
    <xf numFmtId="0" fontId="42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15" borderId="0" applyNumberFormat="0" applyBorder="0" applyAlignment="0" applyProtection="0"/>
    <xf numFmtId="0" fontId="42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23" borderId="0" applyNumberFormat="0" applyBorder="0" applyAlignment="0" applyProtection="0"/>
    <xf numFmtId="0" fontId="43" fillId="24" borderId="0" applyNumberFormat="0" applyBorder="0" applyAlignment="0" applyProtection="0"/>
    <xf numFmtId="0" fontId="43" fillId="25" borderId="0" applyNumberFormat="0" applyBorder="0" applyAlignment="0" applyProtection="0"/>
    <xf numFmtId="0" fontId="47" fillId="0" borderId="0" applyNumberForma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6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48" fillId="20" borderId="0" applyNumberFormat="0" applyBorder="0" applyAlignment="0" applyProtection="0"/>
    <xf numFmtId="0" fontId="49" fillId="20" borderId="0" applyNumberFormat="0" applyBorder="0" applyAlignment="0" applyProtection="0">
      <alignment vertical="center"/>
    </xf>
    <xf numFmtId="0" fontId="50" fillId="14" borderId="0" applyNumberFormat="0" applyBorder="0" applyAlignment="0" applyProtection="0"/>
    <xf numFmtId="0" fontId="51" fillId="14" borderId="0" applyNumberFormat="0" applyBorder="0" applyAlignment="0" applyProtection="0">
      <alignment vertical="center"/>
    </xf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3" borderId="0" applyNumberFormat="0" applyBorder="0" applyAlignment="0" applyProtection="0"/>
    <xf numFmtId="0" fontId="43" fillId="24" borderId="0" applyNumberFormat="0" applyBorder="0" applyAlignment="0" applyProtection="0"/>
    <xf numFmtId="0" fontId="43" fillId="28" borderId="0" applyNumberFormat="0" applyBorder="0" applyAlignment="0" applyProtection="0"/>
    <xf numFmtId="0" fontId="52" fillId="0" borderId="0" applyNumberFormat="0" applyFill="0" applyBorder="0" applyAlignment="0" applyProtection="0"/>
    <xf numFmtId="0" fontId="53" fillId="0" borderId="66" applyNumberFormat="0" applyFill="0" applyAlignment="0" applyProtection="0"/>
    <xf numFmtId="0" fontId="54" fillId="0" borderId="67" applyNumberFormat="0" applyFill="0" applyAlignment="0" applyProtection="0"/>
    <xf numFmtId="0" fontId="47" fillId="0" borderId="68" applyNumberFormat="0" applyFill="0" applyAlignment="0" applyProtection="0"/>
    <xf numFmtId="0" fontId="55" fillId="0" borderId="0" applyNumberFormat="0" applyFill="0" applyBorder="0" applyAlignment="0" applyProtection="0">
      <alignment vertical="center"/>
    </xf>
    <xf numFmtId="0" fontId="56" fillId="29" borderId="69" applyNumberFormat="0" applyAlignment="0" applyProtection="0"/>
    <xf numFmtId="0" fontId="57" fillId="0" borderId="70" applyNumberFormat="0" applyFill="0" applyAlignment="0" applyProtection="0"/>
    <xf numFmtId="0" fontId="57" fillId="0" borderId="70" applyNumberFormat="0" applyFill="0" applyAlignment="0" applyProtection="0"/>
    <xf numFmtId="0" fontId="62" fillId="30" borderId="71" applyNumberFormat="0" applyFont="0" applyAlignment="0" applyProtection="0"/>
    <xf numFmtId="0" fontId="62" fillId="30" borderId="71" applyNumberFormat="0" applyFont="0" applyAlignment="0" applyProtection="0"/>
    <xf numFmtId="0" fontId="62" fillId="30" borderId="71" applyNumberFormat="0" applyFont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9" borderId="64" applyNumberFormat="0" applyAlignment="0" applyProtection="0"/>
    <xf numFmtId="0" fontId="46" fillId="12" borderId="65" applyNumberFormat="0" applyAlignment="0" applyProtection="0"/>
    <xf numFmtId="0" fontId="61" fillId="0" borderId="72" applyNumberFormat="0" applyFill="0" applyAlignment="0" applyProtection="0"/>
    <xf numFmtId="0" fontId="41" fillId="0" borderId="0"/>
  </cellStyleXfs>
  <cellXfs count="257">
    <xf numFmtId="0" fontId="0" fillId="0" borderId="0" xfId="0"/>
    <xf numFmtId="0" fontId="62" fillId="0" borderId="0" xfId="29"/>
    <xf numFmtId="0" fontId="1" fillId="0" borderId="0" xfId="29" applyFont="1"/>
    <xf numFmtId="0" fontId="2" fillId="0" borderId="0" xfId="29" applyFont="1"/>
    <xf numFmtId="0" fontId="62" fillId="0" borderId="0" xfId="29" applyAlignment="1">
      <alignment horizontal="center"/>
    </xf>
    <xf numFmtId="0" fontId="2" fillId="0" borderId="0" xfId="29" applyFont="1" applyAlignment="1">
      <alignment horizontal="left"/>
    </xf>
    <xf numFmtId="0" fontId="2" fillId="0" borderId="0" xfId="29" applyFont="1" applyAlignment="1">
      <alignment horizontal="center"/>
    </xf>
    <xf numFmtId="0" fontId="3" fillId="2" borderId="1" xfId="29" applyFont="1" applyFill="1" applyBorder="1" applyAlignment="1">
      <alignment horizontal="center"/>
    </xf>
    <xf numFmtId="0" fontId="3" fillId="0" borderId="2" xfId="29" applyFont="1" applyBorder="1" applyAlignment="1">
      <alignment horizontal="center"/>
    </xf>
    <xf numFmtId="0" fontId="62" fillId="0" borderId="3" xfId="29" applyBorder="1"/>
    <xf numFmtId="0" fontId="62" fillId="0" borderId="4" xfId="29" applyBorder="1" applyAlignment="1">
      <alignment horizontal="center"/>
    </xf>
    <xf numFmtId="0" fontId="62" fillId="0" borderId="5" xfId="29" applyBorder="1" applyAlignment="1">
      <alignment horizontal="center"/>
    </xf>
    <xf numFmtId="0" fontId="62" fillId="0" borderId="1" xfId="29" applyBorder="1" applyAlignment="1">
      <alignment horizontal="center"/>
    </xf>
    <xf numFmtId="0" fontId="62" fillId="0" borderId="2" xfId="29" applyBorder="1" applyAlignment="1">
      <alignment horizontal="center"/>
    </xf>
    <xf numFmtId="0" fontId="62" fillId="0" borderId="3" xfId="29" applyBorder="1" applyAlignment="1">
      <alignment horizontal="center"/>
    </xf>
    <xf numFmtId="0" fontId="62" fillId="0" borderId="6" xfId="29" applyBorder="1" applyAlignment="1">
      <alignment horizontal="center"/>
    </xf>
    <xf numFmtId="0" fontId="62" fillId="0" borderId="7" xfId="29" applyBorder="1" applyAlignment="1">
      <alignment horizontal="center"/>
    </xf>
    <xf numFmtId="0" fontId="62" fillId="0" borderId="8" xfId="29" applyBorder="1" applyAlignment="1">
      <alignment horizontal="center"/>
    </xf>
    <xf numFmtId="0" fontId="62" fillId="0" borderId="1" xfId="29" applyBorder="1"/>
    <xf numFmtId="0" fontId="4" fillId="0" borderId="5" xfId="29" applyFont="1" applyBorder="1" applyAlignment="1">
      <alignment horizontal="center"/>
    </xf>
    <xf numFmtId="0" fontId="62" fillId="0" borderId="0" xfId="29" applyAlignment="1">
      <alignment horizontal="right"/>
    </xf>
    <xf numFmtId="0" fontId="62" fillId="0" borderId="2" xfId="29" applyBorder="1"/>
    <xf numFmtId="0" fontId="62" fillId="0" borderId="2" xfId="29" applyBorder="1" applyAlignment="1">
      <alignment horizontal="right"/>
    </xf>
    <xf numFmtId="0" fontId="4" fillId="0" borderId="0" xfId="29" applyFont="1" applyAlignment="1">
      <alignment horizontal="right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5" fontId="0" fillId="0" borderId="0" xfId="1" applyFont="1" applyAlignment="1">
      <alignment vertical="center"/>
    </xf>
    <xf numFmtId="166" fontId="0" fillId="0" borderId="0" xfId="1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2" fillId="0" borderId="13" xfId="0" applyFont="1" applyBorder="1" applyAlignment="1">
      <alignment vertical="center"/>
    </xf>
    <xf numFmtId="167" fontId="12" fillId="0" borderId="0" xfId="0" applyNumberFormat="1" applyFont="1" applyAlignment="1">
      <alignment vertical="center"/>
    </xf>
    <xf numFmtId="0" fontId="13" fillId="0" borderId="14" xfId="0" applyFont="1" applyBorder="1" applyAlignment="1">
      <alignment vertical="center"/>
    </xf>
    <xf numFmtId="167" fontId="12" fillId="0" borderId="14" xfId="0" applyNumberFormat="1" applyFont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12" fillId="0" borderId="15" xfId="0" applyFont="1" applyBorder="1" applyAlignment="1">
      <alignment vertical="center"/>
    </xf>
    <xf numFmtId="0" fontId="12" fillId="0" borderId="20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9" xfId="0" applyFont="1" applyBorder="1" applyAlignment="1">
      <alignment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168" fontId="17" fillId="0" borderId="32" xfId="1" applyNumberFormat="1" applyFont="1" applyFill="1" applyBorder="1" applyAlignment="1" applyProtection="1">
      <alignment horizontal="center" vertical="center"/>
    </xf>
    <xf numFmtId="168" fontId="17" fillId="0" borderId="20" xfId="1" applyNumberFormat="1" applyFont="1" applyFill="1" applyBorder="1" applyAlignment="1" applyProtection="1">
      <alignment horizontal="center" vertical="center"/>
    </xf>
    <xf numFmtId="0" fontId="5" fillId="0" borderId="33" xfId="39" applyFont="1" applyBorder="1" applyAlignment="1">
      <alignment horizontal="left"/>
    </xf>
    <xf numFmtId="0" fontId="12" fillId="0" borderId="12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168" fontId="17" fillId="0" borderId="34" xfId="1" applyNumberFormat="1" applyFont="1" applyFill="1" applyBorder="1" applyAlignment="1" applyProtection="1">
      <alignment horizontal="center" vertical="center"/>
    </xf>
    <xf numFmtId="168" fontId="17" fillId="0" borderId="12" xfId="1" applyNumberFormat="1" applyFont="1" applyFill="1" applyBorder="1" applyAlignment="1" applyProtection="1">
      <alignment horizontal="center" vertical="center"/>
    </xf>
    <xf numFmtId="0" fontId="5" fillId="0" borderId="12" xfId="0" applyFont="1" applyBorder="1" applyAlignment="1">
      <alignment vertical="top" wrapText="1"/>
    </xf>
    <xf numFmtId="0" fontId="12" fillId="0" borderId="34" xfId="0" applyFont="1" applyBorder="1" applyAlignment="1">
      <alignment horizontal="center" vertical="center"/>
    </xf>
    <xf numFmtId="0" fontId="5" fillId="0" borderId="35" xfId="39" applyFont="1" applyBorder="1" applyAlignment="1">
      <alignment horizontal="left"/>
    </xf>
    <xf numFmtId="0" fontId="12" fillId="0" borderId="3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168" fontId="19" fillId="0" borderId="39" xfId="1" applyNumberFormat="1" applyFont="1" applyFill="1" applyBorder="1" applyAlignment="1" applyProtection="1">
      <alignment horizontal="center" vertical="center"/>
    </xf>
    <xf numFmtId="168" fontId="19" fillId="0" borderId="36" xfId="1" applyNumberFormat="1" applyFont="1" applyFill="1" applyBorder="1" applyAlignment="1" applyProtection="1">
      <alignment horizontal="center" vertical="center"/>
    </xf>
    <xf numFmtId="0" fontId="12" fillId="0" borderId="13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12" fillId="0" borderId="42" xfId="0" applyFont="1" applyBorder="1" applyAlignment="1">
      <alignment vertical="center"/>
    </xf>
    <xf numFmtId="0" fontId="12" fillId="0" borderId="45" xfId="0" applyFont="1" applyBorder="1" applyAlignment="1">
      <alignment vertical="center"/>
    </xf>
    <xf numFmtId="0" fontId="22" fillId="0" borderId="45" xfId="0" applyFont="1" applyBorder="1" applyAlignment="1">
      <alignment vertical="center" wrapText="1"/>
    </xf>
    <xf numFmtId="0" fontId="12" fillId="0" borderId="13" xfId="0" applyFont="1" applyBorder="1"/>
    <xf numFmtId="0" fontId="12" fillId="0" borderId="13" xfId="0" applyFont="1" applyBorder="1" applyAlignment="1">
      <alignment horizontal="left" vertical="center"/>
    </xf>
    <xf numFmtId="0" fontId="23" fillId="0" borderId="15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6" fillId="0" borderId="46" xfId="0" applyFont="1" applyBorder="1" applyAlignment="1">
      <alignment horizontal="center" vertical="center"/>
    </xf>
    <xf numFmtId="0" fontId="13" fillId="7" borderId="13" xfId="0" applyFont="1" applyFill="1" applyBorder="1" applyAlignment="1">
      <alignment vertical="center"/>
    </xf>
    <xf numFmtId="0" fontId="13" fillId="7" borderId="0" xfId="0" applyFont="1" applyFill="1" applyAlignment="1">
      <alignment vertical="center"/>
    </xf>
    <xf numFmtId="0" fontId="29" fillId="7" borderId="13" xfId="0" applyFont="1" applyFill="1" applyBorder="1" applyAlignment="1">
      <alignment vertical="center"/>
    </xf>
    <xf numFmtId="0" fontId="13" fillId="7" borderId="10" xfId="0" applyFont="1" applyFill="1" applyBorder="1" applyAlignment="1">
      <alignment vertical="center"/>
    </xf>
    <xf numFmtId="0" fontId="30" fillId="7" borderId="10" xfId="0" applyFont="1" applyFill="1" applyBorder="1" applyAlignment="1">
      <alignment vertical="center"/>
    </xf>
    <xf numFmtId="0" fontId="23" fillId="7" borderId="0" xfId="0" applyFont="1" applyFill="1" applyAlignment="1">
      <alignment vertical="center"/>
    </xf>
    <xf numFmtId="0" fontId="30" fillId="7" borderId="13" xfId="0" applyFont="1" applyFill="1" applyBorder="1" applyAlignment="1">
      <alignment horizontal="center" vertical="center"/>
    </xf>
    <xf numFmtId="0" fontId="30" fillId="7" borderId="0" xfId="0" applyFont="1" applyFill="1" applyAlignment="1">
      <alignment horizontal="center" vertical="center"/>
    </xf>
    <xf numFmtId="0" fontId="23" fillId="7" borderId="13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3" fillId="7" borderId="15" xfId="0" applyFont="1" applyFill="1" applyBorder="1" applyAlignment="1">
      <alignment vertical="center"/>
    </xf>
    <xf numFmtId="0" fontId="13" fillId="7" borderId="16" xfId="0" applyFont="1" applyFill="1" applyBorder="1" applyAlignment="1">
      <alignment vertical="center"/>
    </xf>
    <xf numFmtId="0" fontId="29" fillId="7" borderId="15" xfId="0" applyFont="1" applyFill="1" applyBorder="1" applyAlignment="1">
      <alignment horizontal="right"/>
    </xf>
    <xf numFmtId="0" fontId="12" fillId="7" borderId="16" xfId="0" applyFont="1" applyFill="1" applyBorder="1" applyAlignment="1">
      <alignment vertical="center"/>
    </xf>
    <xf numFmtId="0" fontId="12" fillId="7" borderId="16" xfId="0" applyFont="1" applyFill="1" applyBorder="1" applyAlignment="1">
      <alignment horizontal="center" vertical="center"/>
    </xf>
    <xf numFmtId="0" fontId="31" fillId="7" borderId="16" xfId="0" applyFont="1" applyFill="1" applyBorder="1" applyAlignment="1">
      <alignment vertical="center"/>
    </xf>
    <xf numFmtId="0" fontId="33" fillId="0" borderId="0" xfId="0" applyFont="1" applyAlignment="1">
      <alignment horizontal="center" vertical="center"/>
    </xf>
    <xf numFmtId="168" fontId="5" fillId="0" borderId="20" xfId="1" applyNumberFormat="1" applyFont="1" applyFill="1" applyBorder="1" applyAlignment="1">
      <alignment horizontal="center" vertical="center"/>
    </xf>
    <xf numFmtId="168" fontId="5" fillId="0" borderId="12" xfId="1" applyNumberFormat="1" applyFont="1" applyFill="1" applyBorder="1" applyAlignment="1">
      <alignment horizontal="center" vertical="center"/>
    </xf>
    <xf numFmtId="168" fontId="12" fillId="0" borderId="36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0" fillId="7" borderId="10" xfId="0" applyFill="1" applyBorder="1" applyAlignment="1">
      <alignment vertical="center"/>
    </xf>
    <xf numFmtId="0" fontId="0" fillId="7" borderId="0" xfId="0" applyFill="1" applyAlignment="1">
      <alignment vertical="center"/>
    </xf>
    <xf numFmtId="0" fontId="13" fillId="7" borderId="14" xfId="0" applyFont="1" applyFill="1" applyBorder="1" applyAlignment="1">
      <alignment vertical="center"/>
    </xf>
    <xf numFmtId="0" fontId="31" fillId="7" borderId="11" xfId="0" applyFont="1" applyFill="1" applyBorder="1" applyAlignment="1">
      <alignment vertical="center"/>
    </xf>
    <xf numFmtId="0" fontId="31" fillId="7" borderId="14" xfId="0" applyFont="1" applyFill="1" applyBorder="1" applyAlignment="1">
      <alignment vertical="center"/>
    </xf>
    <xf numFmtId="0" fontId="0" fillId="7" borderId="14" xfId="0" applyFill="1" applyBorder="1" applyAlignment="1">
      <alignment vertical="center"/>
    </xf>
    <xf numFmtId="0" fontId="34" fillId="7" borderId="14" xfId="0" applyFont="1" applyFill="1" applyBorder="1" applyAlignment="1">
      <alignment vertical="center"/>
    </xf>
    <xf numFmtId="0" fontId="0" fillId="7" borderId="16" xfId="0" applyFill="1" applyBorder="1" applyAlignment="1">
      <alignment vertical="center"/>
    </xf>
    <xf numFmtId="0" fontId="5" fillId="7" borderId="17" xfId="0" applyFont="1" applyFill="1" applyBorder="1" applyAlignment="1">
      <alignment vertical="center"/>
    </xf>
    <xf numFmtId="0" fontId="5" fillId="7" borderId="16" xfId="0" applyFont="1" applyFill="1" applyBorder="1" applyAlignment="1">
      <alignment vertical="center"/>
    </xf>
    <xf numFmtId="0" fontId="0" fillId="7" borderId="17" xfId="0" applyFill="1" applyBorder="1" applyAlignment="1">
      <alignment vertical="center"/>
    </xf>
    <xf numFmtId="166" fontId="12" fillId="0" borderId="39" xfId="1" applyNumberFormat="1" applyFont="1" applyBorder="1" applyAlignment="1">
      <alignment horizontal="center" vertical="center" wrapText="1"/>
    </xf>
    <xf numFmtId="166" fontId="12" fillId="0" borderId="54" xfId="1" applyNumberFormat="1" applyFont="1" applyBorder="1" applyAlignment="1">
      <alignment horizontal="center" vertical="center" wrapText="1"/>
    </xf>
    <xf numFmtId="168" fontId="17" fillId="0" borderId="55" xfId="1" applyNumberFormat="1" applyFont="1" applyFill="1" applyBorder="1" applyAlignment="1" applyProtection="1">
      <alignment horizontal="center" vertical="center"/>
    </xf>
    <xf numFmtId="168" fontId="5" fillId="0" borderId="56" xfId="0" applyNumberFormat="1" applyFont="1" applyBorder="1" applyAlignment="1">
      <alignment horizontal="center" vertical="center"/>
    </xf>
    <xf numFmtId="164" fontId="5" fillId="0" borderId="57" xfId="2" applyFont="1" applyFill="1" applyBorder="1" applyAlignment="1">
      <alignment horizontal="center" vertical="center"/>
    </xf>
    <xf numFmtId="169" fontId="5" fillId="0" borderId="58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168" fontId="5" fillId="0" borderId="0" xfId="0" applyNumberFormat="1" applyFont="1" applyAlignment="1">
      <alignment vertical="center"/>
    </xf>
    <xf numFmtId="168" fontId="17" fillId="0" borderId="59" xfId="1" applyNumberFormat="1" applyFont="1" applyFill="1" applyBorder="1" applyAlignment="1" applyProtection="1">
      <alignment horizontal="center" vertical="center"/>
    </xf>
    <xf numFmtId="168" fontId="19" fillId="0" borderId="37" xfId="1" applyNumberFormat="1" applyFont="1" applyFill="1" applyBorder="1" applyAlignment="1" applyProtection="1">
      <alignment horizontal="center" vertical="center"/>
    </xf>
    <xf numFmtId="168" fontId="12" fillId="0" borderId="60" xfId="0" applyNumberFormat="1" applyFont="1" applyBorder="1" applyAlignment="1">
      <alignment horizontal="center" vertical="center"/>
    </xf>
    <xf numFmtId="164" fontId="12" fillId="0" borderId="57" xfId="2" applyFont="1" applyFill="1" applyBorder="1" applyAlignment="1">
      <alignment horizontal="center" vertical="center"/>
    </xf>
    <xf numFmtId="169" fontId="12" fillId="0" borderId="58" xfId="2" applyNumberFormat="1" applyFont="1" applyFill="1" applyBorder="1" applyAlignment="1">
      <alignment horizontal="center" vertical="center"/>
    </xf>
    <xf numFmtId="168" fontId="37" fillId="0" borderId="61" xfId="0" applyNumberFormat="1" applyFont="1" applyBorder="1" applyAlignment="1">
      <alignment horizontal="center" vertical="center"/>
    </xf>
    <xf numFmtId="169" fontId="38" fillId="8" borderId="62" xfId="2" applyNumberFormat="1" applyFont="1" applyFill="1" applyBorder="1" applyAlignment="1">
      <alignment vertical="center"/>
    </xf>
    <xf numFmtId="169" fontId="37" fillId="0" borderId="63" xfId="2" applyNumberFormat="1" applyFont="1" applyFill="1" applyBorder="1" applyAlignment="1">
      <alignment horizontal="center" vertical="center"/>
    </xf>
    <xf numFmtId="165" fontId="13" fillId="0" borderId="0" xfId="1" applyFont="1" applyBorder="1" applyAlignment="1">
      <alignment vertical="center"/>
    </xf>
    <xf numFmtId="166" fontId="13" fillId="0" borderId="0" xfId="1" applyNumberFormat="1" applyFont="1" applyBorder="1" applyAlignment="1">
      <alignment vertical="center"/>
    </xf>
    <xf numFmtId="0" fontId="39" fillId="0" borderId="0" xfId="0" applyFont="1" applyAlignment="1">
      <alignment vertical="center"/>
    </xf>
    <xf numFmtId="165" fontId="13" fillId="0" borderId="0" xfId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166" fontId="13" fillId="0" borderId="0" xfId="1" applyNumberFormat="1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3" fillId="7" borderId="9" xfId="0" applyFont="1" applyFill="1" applyBorder="1" applyAlignment="1">
      <alignment vertical="center"/>
    </xf>
    <xf numFmtId="165" fontId="13" fillId="7" borderId="11" xfId="1" applyFont="1" applyFill="1" applyBorder="1" applyAlignment="1">
      <alignment vertical="center"/>
    </xf>
    <xf numFmtId="165" fontId="13" fillId="7" borderId="14" xfId="1" applyFont="1" applyFill="1" applyBorder="1" applyAlignment="1">
      <alignment vertical="center"/>
    </xf>
    <xf numFmtId="0" fontId="5" fillId="7" borderId="13" xfId="0" applyFont="1" applyFill="1" applyBorder="1" applyAlignment="1">
      <alignment vertical="center"/>
    </xf>
    <xf numFmtId="0" fontId="5" fillId="7" borderId="0" xfId="0" applyFont="1" applyFill="1" applyAlignment="1">
      <alignment vertical="center"/>
    </xf>
    <xf numFmtId="0" fontId="5" fillId="7" borderId="15" xfId="0" applyFont="1" applyFill="1" applyBorder="1" applyAlignment="1">
      <alignment vertical="center"/>
    </xf>
    <xf numFmtId="165" fontId="13" fillId="7" borderId="17" xfId="1" applyFont="1" applyFill="1" applyBorder="1" applyAlignment="1">
      <alignment vertical="center"/>
    </xf>
    <xf numFmtId="0" fontId="14" fillId="0" borderId="12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12" fillId="0" borderId="16" xfId="0" applyFont="1" applyBorder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2" fillId="5" borderId="46" xfId="0" applyFont="1" applyFill="1" applyBorder="1" applyAlignment="1">
      <alignment horizontal="center" vertical="center"/>
    </xf>
    <xf numFmtId="0" fontId="12" fillId="5" borderId="47" xfId="0" applyFont="1" applyFill="1" applyBorder="1" applyAlignment="1">
      <alignment horizontal="center" vertical="center"/>
    </xf>
    <xf numFmtId="0" fontId="12" fillId="5" borderId="48" xfId="0" applyFont="1" applyFill="1" applyBorder="1" applyAlignment="1">
      <alignment horizontal="center" vertical="center"/>
    </xf>
    <xf numFmtId="166" fontId="12" fillId="0" borderId="50" xfId="1" applyNumberFormat="1" applyFont="1" applyBorder="1" applyAlignment="1">
      <alignment horizontal="center" vertical="center" wrapText="1"/>
    </xf>
    <xf numFmtId="166" fontId="12" fillId="0" borderId="1" xfId="1" applyNumberFormat="1" applyFont="1" applyBorder="1" applyAlignment="1">
      <alignment horizontal="center" vertical="center" wrapText="1"/>
    </xf>
    <xf numFmtId="166" fontId="12" fillId="0" borderId="11" xfId="1" applyNumberFormat="1" applyFont="1" applyBorder="1" applyAlignment="1">
      <alignment horizontal="center" vertical="center" wrapText="1"/>
    </xf>
    <xf numFmtId="166" fontId="12" fillId="0" borderId="52" xfId="1" applyNumberFormat="1" applyFont="1" applyBorder="1" applyAlignment="1">
      <alignment horizontal="center" vertical="center" wrapText="1"/>
    </xf>
    <xf numFmtId="0" fontId="12" fillId="5" borderId="9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26" fillId="0" borderId="46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7" fillId="0" borderId="46" xfId="0" applyFont="1" applyBorder="1" applyAlignment="1">
      <alignment horizontal="center" vertical="center"/>
    </xf>
    <xf numFmtId="0" fontId="27" fillId="0" borderId="47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/>
    </xf>
    <xf numFmtId="0" fontId="36" fillId="0" borderId="46" xfId="0" applyFont="1" applyBorder="1" applyAlignment="1">
      <alignment horizontal="center" vertical="center"/>
    </xf>
    <xf numFmtId="0" fontId="36" fillId="0" borderId="47" xfId="0" applyFont="1" applyBorder="1" applyAlignment="1">
      <alignment horizontal="center" vertical="center"/>
    </xf>
    <xf numFmtId="0" fontId="36" fillId="0" borderId="48" xfId="0" applyFont="1" applyBorder="1" applyAlignment="1">
      <alignment horizontal="center" vertical="center"/>
    </xf>
    <xf numFmtId="0" fontId="36" fillId="0" borderId="16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165" fontId="40" fillId="5" borderId="9" xfId="1" applyFont="1" applyFill="1" applyBorder="1" applyAlignment="1">
      <alignment horizontal="center" vertical="center"/>
    </xf>
    <xf numFmtId="165" fontId="40" fillId="5" borderId="11" xfId="1" applyFont="1" applyFill="1" applyBorder="1" applyAlignment="1">
      <alignment horizontal="center" vertical="center"/>
    </xf>
    <xf numFmtId="165" fontId="40" fillId="5" borderId="15" xfId="1" applyFont="1" applyFill="1" applyBorder="1" applyAlignment="1">
      <alignment horizontal="center" vertical="center"/>
    </xf>
    <xf numFmtId="165" fontId="40" fillId="5" borderId="17" xfId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21" fillId="0" borderId="43" xfId="0" applyFont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21" fillId="6" borderId="46" xfId="0" applyFont="1" applyFill="1" applyBorder="1" applyAlignment="1">
      <alignment horizontal="center" vertical="center"/>
    </xf>
    <xf numFmtId="0" fontId="21" fillId="6" borderId="47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165" fontId="12" fillId="0" borderId="49" xfId="1" applyFont="1" applyFill="1" applyBorder="1" applyAlignment="1">
      <alignment horizontal="center" vertical="center" wrapText="1"/>
    </xf>
    <xf numFmtId="165" fontId="12" fillId="0" borderId="51" xfId="1" applyFont="1" applyFill="1" applyBorder="1" applyAlignment="1">
      <alignment horizontal="center" vertical="center" wrapText="1"/>
    </xf>
    <xf numFmtId="165" fontId="12" fillId="0" borderId="53" xfId="1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5" fontId="0" fillId="0" borderId="46" xfId="1" applyFont="1" applyBorder="1" applyAlignment="1">
      <alignment horizontal="center" vertical="center"/>
    </xf>
    <xf numFmtId="165" fontId="0" fillId="0" borderId="48" xfId="1" applyFont="1" applyBorder="1" applyAlignment="1">
      <alignment horizontal="center" vertical="center"/>
    </xf>
    <xf numFmtId="0" fontId="24" fillId="0" borderId="9" xfId="0" applyFont="1" applyBorder="1" applyAlignment="1">
      <alignment horizontal="center"/>
    </xf>
    <xf numFmtId="0" fontId="24" fillId="0" borderId="11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24" fillId="0" borderId="9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167" fontId="20" fillId="2" borderId="10" xfId="0" applyNumberFormat="1" applyFont="1" applyFill="1" applyBorder="1" applyAlignment="1">
      <alignment horizontal="center" vertical="center"/>
    </xf>
    <xf numFmtId="167" fontId="20" fillId="2" borderId="11" xfId="0" applyNumberFormat="1" applyFont="1" applyFill="1" applyBorder="1" applyAlignment="1">
      <alignment horizontal="center" vertical="center"/>
    </xf>
    <xf numFmtId="167" fontId="20" fillId="2" borderId="40" xfId="0" applyNumberFormat="1" applyFont="1" applyFill="1" applyBorder="1" applyAlignment="1">
      <alignment horizontal="center" vertical="center"/>
    </xf>
    <xf numFmtId="167" fontId="20" fillId="2" borderId="41" xfId="0" applyNumberFormat="1" applyFont="1" applyFill="1" applyBorder="1" applyAlignment="1">
      <alignment horizontal="center" vertical="center"/>
    </xf>
    <xf numFmtId="0" fontId="25" fillId="0" borderId="9" xfId="0" applyFont="1" applyBorder="1" applyAlignment="1">
      <alignment horizontal="center" vertical="top"/>
    </xf>
    <xf numFmtId="0" fontId="25" fillId="0" borderId="10" xfId="0" applyFont="1" applyBorder="1" applyAlignment="1">
      <alignment horizontal="center" vertical="top"/>
    </xf>
    <xf numFmtId="0" fontId="25" fillId="0" borderId="11" xfId="0" applyFont="1" applyBorder="1" applyAlignment="1">
      <alignment horizontal="center" vertical="top"/>
    </xf>
    <xf numFmtId="0" fontId="25" fillId="0" borderId="13" xfId="0" applyFont="1" applyBorder="1" applyAlignment="1">
      <alignment horizontal="center" vertical="top"/>
    </xf>
    <xf numFmtId="0" fontId="25" fillId="0" borderId="0" xfId="0" applyFont="1" applyAlignment="1">
      <alignment horizontal="center" vertical="top"/>
    </xf>
    <xf numFmtId="0" fontId="25" fillId="0" borderId="14" xfId="0" applyFont="1" applyBorder="1" applyAlignment="1">
      <alignment horizontal="center" vertical="top"/>
    </xf>
    <xf numFmtId="0" fontId="25" fillId="0" borderId="15" xfId="0" applyFont="1" applyBorder="1" applyAlignment="1">
      <alignment horizontal="center" vertical="top"/>
    </xf>
    <xf numFmtId="0" fontId="25" fillId="0" borderId="16" xfId="0" applyFont="1" applyBorder="1" applyAlignment="1">
      <alignment horizontal="center" vertical="top"/>
    </xf>
    <xf numFmtId="0" fontId="25" fillId="0" borderId="17" xfId="0" applyFont="1" applyBorder="1" applyAlignment="1">
      <alignment horizontal="center" vertical="top"/>
    </xf>
    <xf numFmtId="0" fontId="12" fillId="5" borderId="15" xfId="0" applyFont="1" applyFill="1" applyBorder="1" applyAlignment="1">
      <alignment horizontal="center" vertical="center"/>
    </xf>
    <xf numFmtId="0" fontId="12" fillId="5" borderId="16" xfId="0" applyFont="1" applyFill="1" applyBorder="1" applyAlignment="1">
      <alignment horizontal="center" vertical="center"/>
    </xf>
    <xf numFmtId="0" fontId="12" fillId="5" borderId="17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34" fillId="7" borderId="0" xfId="0" applyFont="1" applyFill="1" applyAlignment="1">
      <alignment horizontal="center" vertical="center"/>
    </xf>
    <xf numFmtId="0" fontId="34" fillId="7" borderId="14" xfId="0" applyFont="1" applyFill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8" fillId="0" borderId="11" xfId="0" applyFont="1" applyBorder="1"/>
    <xf numFmtId="0" fontId="12" fillId="5" borderId="9" xfId="0" applyFont="1" applyFill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/>
    </xf>
    <xf numFmtId="0" fontId="4" fillId="0" borderId="7" xfId="29" applyFont="1" applyBorder="1" applyAlignment="1">
      <alignment horizontal="center" wrapText="1"/>
    </xf>
    <xf numFmtId="0" fontId="4" fillId="0" borderId="0" xfId="29" applyFont="1" applyAlignment="1">
      <alignment horizontal="center" wrapText="1"/>
    </xf>
  </cellXfs>
  <cellStyles count="68">
    <cellStyle name="20% - 强调文字颜色 1" xfId="17" xr:uid="{00000000-0005-0000-0000-000000000000}"/>
    <cellStyle name="20% - 强调文字颜色 2" xfId="11" xr:uid="{00000000-0005-0000-0000-000001000000}"/>
    <cellStyle name="20% - 强调文字颜色 3" xfId="18" xr:uid="{00000000-0005-0000-0000-000002000000}"/>
    <cellStyle name="20% - 强调文字颜色 4" xfId="19" xr:uid="{00000000-0005-0000-0000-000003000000}"/>
    <cellStyle name="20% - 强调文字颜色 5" xfId="20" xr:uid="{00000000-0005-0000-0000-000004000000}"/>
    <cellStyle name="20% - 强调文字颜色 6" xfId="3" xr:uid="{00000000-0005-0000-0000-000005000000}"/>
    <cellStyle name="40% - 强调文字颜色 1" xfId="13" xr:uid="{00000000-0005-0000-0000-000006000000}"/>
    <cellStyle name="40% - 强调文字颜色 2" xfId="15" xr:uid="{00000000-0005-0000-0000-000007000000}"/>
    <cellStyle name="40% - 强调文字颜色 3" xfId="16" xr:uid="{00000000-0005-0000-0000-000008000000}"/>
    <cellStyle name="40% - 强调文字颜色 4" xfId="12" xr:uid="{00000000-0005-0000-0000-000009000000}"/>
    <cellStyle name="40% - 强调文字颜色 5" xfId="14" xr:uid="{00000000-0005-0000-0000-00000A000000}"/>
    <cellStyle name="40% - 强调文字颜色 6" xfId="9" xr:uid="{00000000-0005-0000-0000-00000B000000}"/>
    <cellStyle name="60% - 强调文字颜色 1" xfId="21" xr:uid="{00000000-0005-0000-0000-00000C000000}"/>
    <cellStyle name="60% - 强调文字颜色 2" xfId="22" xr:uid="{00000000-0005-0000-0000-00000D000000}"/>
    <cellStyle name="60% - 强调文字颜色 3" xfId="23" xr:uid="{00000000-0005-0000-0000-00000E000000}"/>
    <cellStyle name="60% - 强调文字颜色 4" xfId="24" xr:uid="{00000000-0005-0000-0000-00000F000000}"/>
    <cellStyle name="60% - 强调文字颜色 5" xfId="25" xr:uid="{00000000-0005-0000-0000-000010000000}"/>
    <cellStyle name="60% - 强调文字颜色 6" xfId="26" xr:uid="{00000000-0005-0000-0000-000011000000}"/>
    <cellStyle name="Comma" xfId="1" builtinId="3"/>
    <cellStyle name="Comma 2" xfId="28" xr:uid="{00000000-0005-0000-0000-000013000000}"/>
    <cellStyle name="Currency" xfId="2" builtinId="4"/>
    <cellStyle name="Normal" xfId="0" builtinId="0"/>
    <cellStyle name="Normal 2" xfId="29" xr:uid="{00000000-0005-0000-0000-000016000000}"/>
    <cellStyle name="Normal 2 2" xfId="30" xr:uid="{00000000-0005-0000-0000-000017000000}"/>
    <cellStyle name="Normal 2 2 2" xfId="31" xr:uid="{00000000-0005-0000-0000-000018000000}"/>
    <cellStyle name="Normal 2 2 3" xfId="32" xr:uid="{00000000-0005-0000-0000-000019000000}"/>
    <cellStyle name="Normal 2 2 3 2" xfId="33" xr:uid="{00000000-0005-0000-0000-00001A000000}"/>
    <cellStyle name="Normal 2 3" xfId="34" xr:uid="{00000000-0005-0000-0000-00001B000000}"/>
    <cellStyle name="Normal 2 5 2 2" xfId="67" xr:uid="{00000000-0005-0000-0000-00001C000000}"/>
    <cellStyle name="Normal 3" xfId="35" xr:uid="{00000000-0005-0000-0000-00001D000000}"/>
    <cellStyle name="Normal 3 2" xfId="36" xr:uid="{00000000-0005-0000-0000-00001E000000}"/>
    <cellStyle name="Normal 3 2 2 2 2" xfId="37" xr:uid="{00000000-0005-0000-0000-00001F000000}"/>
    <cellStyle name="Normal 3 2 2 2 3" xfId="38" xr:uid="{00000000-0005-0000-0000-000020000000}"/>
    <cellStyle name="Normal 3 2 2 3" xfId="6" xr:uid="{00000000-0005-0000-0000-000021000000}"/>
    <cellStyle name="Normal 3 2 2 3 2" xfId="8" xr:uid="{00000000-0005-0000-0000-000022000000}"/>
    <cellStyle name="Normal_Book1" xfId="39" xr:uid="{00000000-0005-0000-0000-000023000000}"/>
    <cellStyle name="Percent 2" xfId="40" xr:uid="{00000000-0005-0000-0000-000024000000}"/>
    <cellStyle name="Percent 3" xfId="41" xr:uid="{00000000-0005-0000-0000-000025000000}"/>
    <cellStyle name="好" xfId="42" xr:uid="{00000000-0005-0000-0000-000026000000}"/>
    <cellStyle name="好_PEMBAGIAN" xfId="43" xr:uid="{00000000-0005-0000-0000-000027000000}"/>
    <cellStyle name="差" xfId="44" xr:uid="{00000000-0005-0000-0000-000028000000}"/>
    <cellStyle name="差_PEMBAGIAN" xfId="45" xr:uid="{00000000-0005-0000-0000-000029000000}"/>
    <cellStyle name="强调文字颜色 1" xfId="46" xr:uid="{00000000-0005-0000-0000-00002A000000}"/>
    <cellStyle name="强调文字颜色 2" xfId="4" xr:uid="{00000000-0005-0000-0000-00002B000000}"/>
    <cellStyle name="强调文字颜色 3" xfId="47" xr:uid="{00000000-0005-0000-0000-00002C000000}"/>
    <cellStyle name="强调文字颜色 4" xfId="48" xr:uid="{00000000-0005-0000-0000-00002D000000}"/>
    <cellStyle name="强调文字颜色 5" xfId="49" xr:uid="{00000000-0005-0000-0000-00002E000000}"/>
    <cellStyle name="强调文字颜色 6" xfId="50" xr:uid="{00000000-0005-0000-0000-00002F000000}"/>
    <cellStyle name="标题" xfId="51" xr:uid="{00000000-0005-0000-0000-000030000000}"/>
    <cellStyle name="标题 1" xfId="52" xr:uid="{00000000-0005-0000-0000-000031000000}"/>
    <cellStyle name="标题 2" xfId="53" xr:uid="{00000000-0005-0000-0000-000032000000}"/>
    <cellStyle name="标题 3" xfId="54" xr:uid="{00000000-0005-0000-0000-000033000000}"/>
    <cellStyle name="标题 4" xfId="27" xr:uid="{00000000-0005-0000-0000-000034000000}"/>
    <cellStyle name="标题_PEMBAGIAN" xfId="55" xr:uid="{00000000-0005-0000-0000-000035000000}"/>
    <cellStyle name="检查单元格" xfId="56" xr:uid="{00000000-0005-0000-0000-000036000000}"/>
    <cellStyle name="汇总" xfId="57" xr:uid="{00000000-0005-0000-0000-000037000000}"/>
    <cellStyle name="汇总 2" xfId="58" xr:uid="{00000000-0005-0000-0000-000038000000}"/>
    <cellStyle name="注释" xfId="59" xr:uid="{00000000-0005-0000-0000-000039000000}"/>
    <cellStyle name="注释 2" xfId="60" xr:uid="{00000000-0005-0000-0000-00003A000000}"/>
    <cellStyle name="注释 3" xfId="61" xr:uid="{00000000-0005-0000-0000-00003B000000}"/>
    <cellStyle name="解释性文本" xfId="62" xr:uid="{00000000-0005-0000-0000-00003C000000}"/>
    <cellStyle name="警告文本" xfId="63" xr:uid="{00000000-0005-0000-0000-00003D000000}"/>
    <cellStyle name="计算" xfId="7" xr:uid="{00000000-0005-0000-0000-00003E000000}"/>
    <cellStyle name="输入" xfId="64" xr:uid="{00000000-0005-0000-0000-00003F000000}"/>
    <cellStyle name="输出" xfId="65" xr:uid="{00000000-0005-0000-0000-000040000000}"/>
    <cellStyle name="输出 2" xfId="10" xr:uid="{00000000-0005-0000-0000-000041000000}"/>
    <cellStyle name="适中" xfId="5" xr:uid="{00000000-0005-0000-0000-000042000000}"/>
    <cellStyle name="链接单元格" xfId="66" xr:uid="{00000000-0005-0000-0000-000043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236515</xdr:colOff>
      <xdr:row>46</xdr:row>
      <xdr:rowOff>163536</xdr:rowOff>
    </xdr:from>
    <xdr:ext cx="2150919" cy="316055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12278360" y="14004925"/>
          <a:ext cx="2150745" cy="31623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zh-CN" altLang="en-US" sz="1400">
              <a:solidFill>
                <a:srgbClr val="FFFF00"/>
              </a:solidFill>
            </a:rPr>
            <a:t>编号，码数，生产号码</a:t>
          </a:r>
          <a:endParaRPr lang="en-US" sz="1400">
            <a:solidFill>
              <a:srgbClr val="FFFF00"/>
            </a:solidFill>
          </a:endParaRPr>
        </a:p>
      </xdr:txBody>
    </xdr:sp>
    <xdr:clientData/>
  </xdr:oneCellAnchor>
  <xdr:twoCellAnchor editAs="oneCell">
    <xdr:from>
      <xdr:col>2</xdr:col>
      <xdr:colOff>289560</xdr:colOff>
      <xdr:row>46</xdr:row>
      <xdr:rowOff>174625</xdr:rowOff>
    </xdr:from>
    <xdr:to>
      <xdr:col>3</xdr:col>
      <xdr:colOff>212725</xdr:colOff>
      <xdr:row>50</xdr:row>
      <xdr:rowOff>86360</xdr:rowOff>
    </xdr:to>
    <xdr:pic>
      <xdr:nvPicPr>
        <xdr:cNvPr id="25561" name="Picture 10">
          <a:extLst>
            <a:ext uri="{FF2B5EF4-FFF2-40B4-BE49-F238E27FC236}">
              <a16:creationId xmlns:a16="http://schemas.microsoft.com/office/drawing/2014/main" id="{00000000-0008-0000-0000-0000D96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317365" y="14016355"/>
          <a:ext cx="1245235" cy="8299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714375</xdr:colOff>
      <xdr:row>46</xdr:row>
      <xdr:rowOff>146685</xdr:rowOff>
    </xdr:from>
    <xdr:to>
      <xdr:col>4</xdr:col>
      <xdr:colOff>295910</xdr:colOff>
      <xdr:row>50</xdr:row>
      <xdr:rowOff>38100</xdr:rowOff>
    </xdr:to>
    <xdr:pic>
      <xdr:nvPicPr>
        <xdr:cNvPr id="25562" name="Picture 12">
          <a:extLst>
            <a:ext uri="{FF2B5EF4-FFF2-40B4-BE49-F238E27FC236}">
              <a16:creationId xmlns:a16="http://schemas.microsoft.com/office/drawing/2014/main" id="{00000000-0008-0000-0000-0000DA6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064250" y="13988415"/>
          <a:ext cx="128651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444500</xdr:colOff>
      <xdr:row>49</xdr:row>
      <xdr:rowOff>61595</xdr:rowOff>
    </xdr:from>
    <xdr:ext cx="2133602" cy="448538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5794375" y="14583410"/>
          <a:ext cx="2133600" cy="44831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请用</a:t>
          </a:r>
          <a:r>
            <a:rPr 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LTA</a:t>
          </a:r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胶带封箱</a:t>
          </a:r>
          <a:r>
            <a:rPr lang="zh-CN" altLang="en-US" sz="1200">
              <a:solidFill>
                <a:srgbClr val="FFFF00"/>
              </a:solidFill>
            </a:rPr>
            <a:t> 。</a:t>
          </a:r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请看图片</a:t>
          </a:r>
          <a:endParaRPr lang="en-US" sz="1200">
            <a:solidFill>
              <a:srgbClr val="FFFF00"/>
            </a:solidFill>
          </a:endParaRPr>
        </a:p>
      </xdr:txBody>
    </xdr:sp>
    <xdr:clientData/>
  </xdr:oneCellAnchor>
  <xdr:twoCellAnchor editAs="oneCell">
    <xdr:from>
      <xdr:col>1</xdr:col>
      <xdr:colOff>942975</xdr:colOff>
      <xdr:row>18</xdr:row>
      <xdr:rowOff>28575</xdr:rowOff>
    </xdr:from>
    <xdr:to>
      <xdr:col>3</xdr:col>
      <xdr:colOff>5080</xdr:colOff>
      <xdr:row>19</xdr:row>
      <xdr:rowOff>257175</xdr:rowOff>
    </xdr:to>
    <xdr:pic>
      <xdr:nvPicPr>
        <xdr:cNvPr id="25564" name="Picture 895">
          <a:extLst>
            <a:ext uri="{FF2B5EF4-FFF2-40B4-BE49-F238E27FC236}">
              <a16:creationId xmlns:a16="http://schemas.microsoft.com/office/drawing/2014/main" id="{00000000-0008-0000-0000-0000DC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3362325" y="5596890"/>
          <a:ext cx="199263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463550</xdr:colOff>
      <xdr:row>41</xdr:row>
      <xdr:rowOff>111125</xdr:rowOff>
    </xdr:from>
    <xdr:to>
      <xdr:col>3</xdr:col>
      <xdr:colOff>744220</xdr:colOff>
      <xdr:row>45</xdr:row>
      <xdr:rowOff>26670</xdr:rowOff>
    </xdr:to>
    <xdr:pic>
      <xdr:nvPicPr>
        <xdr:cNvPr id="25566" name="Picture 6">
          <a:extLst>
            <a:ext uri="{FF2B5EF4-FFF2-40B4-BE49-F238E27FC236}">
              <a16:creationId xmlns:a16="http://schemas.microsoft.com/office/drawing/2014/main" id="{00000000-0008-0000-0000-0000DE6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4491355" y="12847955"/>
          <a:ext cx="1602740" cy="799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1162050</xdr:colOff>
      <xdr:row>41</xdr:row>
      <xdr:rowOff>152400</xdr:rowOff>
    </xdr:from>
    <xdr:to>
      <xdr:col>4</xdr:col>
      <xdr:colOff>1282065</xdr:colOff>
      <xdr:row>45</xdr:row>
      <xdr:rowOff>27305</xdr:rowOff>
    </xdr:to>
    <xdr:pic>
      <xdr:nvPicPr>
        <xdr:cNvPr id="25567" name="Picture 38">
          <a:extLst>
            <a:ext uri="{FF2B5EF4-FFF2-40B4-BE49-F238E27FC236}">
              <a16:creationId xmlns:a16="http://schemas.microsoft.com/office/drawing/2014/main" id="{00000000-0008-0000-0000-0000DF6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511925" y="12889230"/>
          <a:ext cx="1824990" cy="758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1314450</xdr:colOff>
      <xdr:row>41</xdr:row>
      <xdr:rowOff>200025</xdr:rowOff>
    </xdr:from>
    <xdr:to>
      <xdr:col>7</xdr:col>
      <xdr:colOff>226695</xdr:colOff>
      <xdr:row>45</xdr:row>
      <xdr:rowOff>34290</xdr:rowOff>
    </xdr:to>
    <xdr:pic>
      <xdr:nvPicPr>
        <xdr:cNvPr id="25568" name="Picture 41">
          <a:extLst>
            <a:ext uri="{FF2B5EF4-FFF2-40B4-BE49-F238E27FC236}">
              <a16:creationId xmlns:a16="http://schemas.microsoft.com/office/drawing/2014/main" id="{00000000-0008-0000-0000-0000E06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8369300" y="12936855"/>
          <a:ext cx="1655445" cy="7181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228600</xdr:colOff>
      <xdr:row>40</xdr:row>
      <xdr:rowOff>180975</xdr:rowOff>
    </xdr:from>
    <xdr:to>
      <xdr:col>18</xdr:col>
      <xdr:colOff>628650</xdr:colOff>
      <xdr:row>47</xdr:row>
      <xdr:rowOff>73602</xdr:rowOff>
    </xdr:to>
    <xdr:pic>
      <xdr:nvPicPr>
        <xdr:cNvPr id="25569" name="Picture 3">
          <a:extLst>
            <a:ext uri="{FF2B5EF4-FFF2-40B4-BE49-F238E27FC236}">
              <a16:creationId xmlns:a16="http://schemas.microsoft.com/office/drawing/2014/main" id="{00000000-0008-0000-0000-0000E16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867890" y="12696825"/>
          <a:ext cx="1438910" cy="1438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290945</xdr:colOff>
      <xdr:row>40</xdr:row>
      <xdr:rowOff>114300</xdr:rowOff>
    </xdr:from>
    <xdr:to>
      <xdr:col>1</xdr:col>
      <xdr:colOff>807200</xdr:colOff>
      <xdr:row>44</xdr:row>
      <xdr:rowOff>208684</xdr:rowOff>
    </xdr:to>
    <xdr:pic>
      <xdr:nvPicPr>
        <xdr:cNvPr id="25571" name="Picture 35">
          <a:extLst>
            <a:ext uri="{FF2B5EF4-FFF2-40B4-BE49-F238E27FC236}">
              <a16:creationId xmlns:a16="http://schemas.microsoft.com/office/drawing/2014/main" id="{00000000-0008-0000-0000-0000E36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290830" y="12630150"/>
          <a:ext cx="2935605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1</xdr:colOff>
      <xdr:row>40</xdr:row>
      <xdr:rowOff>54429</xdr:rowOff>
    </xdr:from>
    <xdr:to>
      <xdr:col>15</xdr:col>
      <xdr:colOff>435429</xdr:colOff>
      <xdr:row>42</xdr:row>
      <xdr:rowOff>211035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13081000" y="12569825"/>
          <a:ext cx="1473835" cy="5988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altLang="zh-CN" sz="1000" b="1" baseline="0"/>
            <a:t> KYLAR 27</a:t>
          </a:r>
          <a:r>
            <a:rPr lang="id-ID" sz="1000" b="1"/>
            <a:t> </a:t>
          </a:r>
          <a:r>
            <a:rPr lang="en-US" sz="1000" b="1"/>
            <a:t>C20</a:t>
          </a:r>
          <a:endParaRPr lang="en-US" sz="1000" b="1" baseline="0"/>
        </a:p>
        <a:p>
          <a:pPr algn="ctr"/>
          <a:r>
            <a:rPr lang="en-US" sz="1000" b="1" baseline="0"/>
            <a:t>MADE IN CHINA</a:t>
          </a:r>
        </a:p>
        <a:p>
          <a:pPr algn="ctr"/>
          <a:r>
            <a:rPr lang="en-US" sz="1000" b="1" baseline="0"/>
            <a:t>MAN MADE MATERIAL  </a:t>
          </a:r>
          <a:r>
            <a:rPr lang="zh-CN" altLang="en-US" sz="1000" b="1" baseline="0"/>
            <a:t> </a:t>
          </a:r>
          <a:endParaRPr lang="en-US" sz="1000" b="1"/>
        </a:p>
      </xdr:txBody>
    </xdr:sp>
    <xdr:clientData/>
  </xdr:twoCellAnchor>
  <xdr:twoCellAnchor editAs="oneCell">
    <xdr:from>
      <xdr:col>11</xdr:col>
      <xdr:colOff>95250</xdr:colOff>
      <xdr:row>42</xdr:row>
      <xdr:rowOff>152400</xdr:rowOff>
    </xdr:from>
    <xdr:to>
      <xdr:col>13</xdr:col>
      <xdr:colOff>419100</xdr:colOff>
      <xdr:row>46</xdr:row>
      <xdr:rowOff>35502</xdr:rowOff>
    </xdr:to>
    <xdr:pic>
      <xdr:nvPicPr>
        <xdr:cNvPr id="25573" name="Picture 6">
          <a:extLst>
            <a:ext uri="{FF2B5EF4-FFF2-40B4-BE49-F238E27FC236}">
              <a16:creationId xmlns:a16="http://schemas.microsoft.com/office/drawing/2014/main" id="{00000000-0008-0000-0000-0000E56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37390" y="13110210"/>
          <a:ext cx="1362710" cy="766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342900</xdr:colOff>
      <xdr:row>50</xdr:row>
      <xdr:rowOff>38100</xdr:rowOff>
    </xdr:from>
    <xdr:to>
      <xdr:col>15</xdr:col>
      <xdr:colOff>247650</xdr:colOff>
      <xdr:row>52</xdr:row>
      <xdr:rowOff>51089</xdr:rowOff>
    </xdr:to>
    <xdr:pic>
      <xdr:nvPicPr>
        <xdr:cNvPr id="25574" name="Picture 895">
          <a:extLst>
            <a:ext uri="{FF2B5EF4-FFF2-40B4-BE49-F238E27FC236}">
              <a16:creationId xmlns:a16="http://schemas.microsoft.com/office/drawing/2014/main" id="{00000000-0008-0000-0000-0000E6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12385040" y="14798040"/>
          <a:ext cx="1982470" cy="454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54428</xdr:colOff>
      <xdr:row>42</xdr:row>
      <xdr:rowOff>176893</xdr:rowOff>
    </xdr:from>
    <xdr:to>
      <xdr:col>13</xdr:col>
      <xdr:colOff>244928</xdr:colOff>
      <xdr:row>43</xdr:row>
      <xdr:rowOff>163285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3134975" y="13134340"/>
          <a:ext cx="190500" cy="207645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121227</xdr:colOff>
      <xdr:row>40</xdr:row>
      <xdr:rowOff>225138</xdr:rowOff>
    </xdr:from>
    <xdr:to>
      <xdr:col>20</xdr:col>
      <xdr:colOff>1212272</xdr:colOff>
      <xdr:row>44</xdr:row>
      <xdr:rowOff>7795</xdr:rowOff>
    </xdr:to>
    <xdr:pic>
      <xdr:nvPicPr>
        <xdr:cNvPr id="20" name="Picture 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>
        <a:xfrm>
          <a:off x="16866870" y="12736830"/>
          <a:ext cx="1934210" cy="67056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19</xdr:col>
      <xdr:colOff>635577</xdr:colOff>
      <xdr:row>44</xdr:row>
      <xdr:rowOff>150670</xdr:rowOff>
    </xdr:from>
    <xdr:to>
      <xdr:col>20</xdr:col>
      <xdr:colOff>745547</xdr:colOff>
      <xdr:row>51</xdr:row>
      <xdr:rowOff>144609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>
        <a:xfrm>
          <a:off x="17381220" y="13550265"/>
          <a:ext cx="953135" cy="15748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2203450</xdr:colOff>
      <xdr:row>45</xdr:row>
      <xdr:rowOff>208915</xdr:rowOff>
    </xdr:from>
    <xdr:to>
      <xdr:col>1</xdr:col>
      <xdr:colOff>1361440</xdr:colOff>
      <xdr:row>50</xdr:row>
      <xdr:rowOff>215900</xdr:rowOff>
    </xdr:to>
    <xdr:pic>
      <xdr:nvPicPr>
        <xdr:cNvPr id="2" name="Picture 1" descr="IMG-20231124-WA00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2203450" y="13829665"/>
          <a:ext cx="1577340" cy="1146175"/>
        </a:xfrm>
        <a:prstGeom prst="rect">
          <a:avLst/>
        </a:prstGeom>
      </xdr:spPr>
    </xdr:pic>
    <xdr:clientData/>
  </xdr:twoCellAnchor>
  <xdr:twoCellAnchor editAs="oneCell">
    <xdr:from>
      <xdr:col>4</xdr:col>
      <xdr:colOff>1196657</xdr:colOff>
      <xdr:row>47</xdr:row>
      <xdr:rowOff>236537</xdr:rowOff>
    </xdr:from>
    <xdr:to>
      <xdr:col>7</xdr:col>
      <xdr:colOff>106997</xdr:colOff>
      <xdr:row>51</xdr:row>
      <xdr:rowOff>53022</xdr:rowOff>
    </xdr:to>
    <xdr:pic>
      <xdr:nvPicPr>
        <xdr:cNvPr id="3" name="Picture 2" descr="IMG-20231124-WA001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 rot="5400000">
          <a:off x="8710295" y="13839190"/>
          <a:ext cx="734695" cy="1653540"/>
        </a:xfrm>
        <a:prstGeom prst="rect">
          <a:avLst/>
        </a:prstGeom>
      </xdr:spPr>
    </xdr:pic>
    <xdr:clientData/>
  </xdr:twoCellAnchor>
  <xdr:twoCellAnchor editAs="oneCell">
    <xdr:from>
      <xdr:col>7</xdr:col>
      <xdr:colOff>679450</xdr:colOff>
      <xdr:row>43</xdr:row>
      <xdr:rowOff>100965</xdr:rowOff>
    </xdr:from>
    <xdr:to>
      <xdr:col>10</xdr:col>
      <xdr:colOff>272415</xdr:colOff>
      <xdr:row>51</xdr:row>
      <xdr:rowOff>19050</xdr:rowOff>
    </xdr:to>
    <xdr:pic>
      <xdr:nvPicPr>
        <xdr:cNvPr id="6" name="Picture 5" descr="IMG-20231124-WA001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477500" y="13279755"/>
          <a:ext cx="1317625" cy="1720215"/>
        </a:xfrm>
        <a:prstGeom prst="rect">
          <a:avLst/>
        </a:prstGeom>
      </xdr:spPr>
    </xdr:pic>
    <xdr:clientData/>
  </xdr:twoCellAnchor>
  <xdr:twoCellAnchor editAs="oneCell">
    <xdr:from>
      <xdr:col>0</xdr:col>
      <xdr:colOff>202247</xdr:colOff>
      <xdr:row>45</xdr:row>
      <xdr:rowOff>136207</xdr:rowOff>
    </xdr:from>
    <xdr:to>
      <xdr:col>0</xdr:col>
      <xdr:colOff>2192972</xdr:colOff>
      <xdr:row>51</xdr:row>
      <xdr:rowOff>46037</xdr:rowOff>
    </xdr:to>
    <xdr:pic>
      <xdr:nvPicPr>
        <xdr:cNvPr id="7" name="Picture 6" descr="IMG-20231124-WA001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 rot="16200000">
          <a:off x="561975" y="13395960"/>
          <a:ext cx="1270000" cy="1990725"/>
        </a:xfrm>
        <a:prstGeom prst="rect">
          <a:avLst/>
        </a:prstGeom>
      </xdr:spPr>
    </xdr:pic>
    <xdr:clientData/>
  </xdr:twoCellAnchor>
  <xdr:twoCellAnchor>
    <xdr:from>
      <xdr:col>1</xdr:col>
      <xdr:colOff>901291</xdr:colOff>
      <xdr:row>22</xdr:row>
      <xdr:rowOff>51211</xdr:rowOff>
    </xdr:from>
    <xdr:to>
      <xdr:col>3</xdr:col>
      <xdr:colOff>542288</xdr:colOff>
      <xdr:row>24</xdr:row>
      <xdr:rowOff>187247</xdr:rowOff>
    </xdr:to>
    <xdr:sp macro="" textlink="">
      <xdr:nvSpPr>
        <xdr:cNvPr id="23" name="AutoShape 5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rrowheads="1"/>
        </xdr:cNvSpPr>
      </xdr:nvSpPr>
      <xdr:spPr>
        <a:xfrm>
          <a:off x="3369597" y="6800646"/>
          <a:ext cx="2621401" cy="750553"/>
        </a:xfrm>
        <a:prstGeom prst="triangle">
          <a:avLst>
            <a:gd name="adj" fmla="val 50000"/>
          </a:avLst>
        </a:prstGeom>
        <a:solidFill>
          <a:srgbClr val="FFFFFF"/>
        </a:solidFill>
        <a:ln w="25400" algn="ctr">
          <a:solidFill>
            <a:srgbClr val="4F81BD"/>
          </a:solidFill>
          <a:miter lim="800000"/>
        </a:ln>
      </xdr:spPr>
      <xdr:txBody>
        <a:bodyPr vertOverflow="clip" wrap="square" lIns="27432" tIns="27432" rIns="0" bIns="0" anchor="t" upright="1"/>
        <a:lstStyle/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{_alejandro_}</a:t>
          </a:r>
          <a:endParaRPr lang="en-US" sz="11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Y53"/>
  <sheetViews>
    <sheetView tabSelected="1" zoomScale="47" zoomScaleNormal="36" workbookViewId="0">
      <selection activeCell="D4" sqref="D4"/>
    </sheetView>
  </sheetViews>
  <sheetFormatPr defaultColWidth="11.42578125" defaultRowHeight="18"/>
  <cols>
    <col min="1" max="1" width="35.28515625" style="25" customWidth="1"/>
    <col min="2" max="2" width="23.42578125" style="25" customWidth="1"/>
    <col min="3" max="3" width="19.28515625" style="25" customWidth="1"/>
    <col min="4" max="4" width="24.85546875" style="26" customWidth="1"/>
    <col min="5" max="5" width="20" style="25" customWidth="1"/>
    <col min="6" max="8" width="10" style="25" customWidth="1"/>
    <col min="9" max="18" width="7.5703125" style="25" customWidth="1"/>
    <col min="19" max="19" width="15.5703125" style="25" customWidth="1"/>
    <col min="20" max="20" width="12.28515625" style="27" customWidth="1"/>
    <col min="21" max="21" width="20.28515625" style="28" customWidth="1"/>
    <col min="22" max="22" width="11.42578125" style="29"/>
    <col min="23" max="16384" width="11.42578125" style="25"/>
  </cols>
  <sheetData>
    <row r="1" spans="1:22" ht="23.25">
      <c r="A1" s="149" t="s">
        <v>0</v>
      </c>
      <c r="B1" s="149"/>
      <c r="C1" s="149"/>
      <c r="D1" s="30"/>
      <c r="E1" s="31"/>
      <c r="F1" s="31"/>
      <c r="G1" s="31"/>
      <c r="H1" s="31"/>
      <c r="I1" s="30"/>
      <c r="J1" s="30"/>
      <c r="N1" s="150"/>
      <c r="O1" s="150"/>
      <c r="P1" s="150"/>
      <c r="Q1" s="150"/>
      <c r="R1" s="150"/>
      <c r="S1" s="150"/>
      <c r="T1" s="150"/>
      <c r="U1" s="150"/>
    </row>
    <row r="2" spans="1:22" ht="23.25" customHeight="1">
      <c r="A2" s="32" t="s">
        <v>1</v>
      </c>
      <c r="B2" s="33" t="s">
        <v>70</v>
      </c>
      <c r="C2" s="34"/>
      <c r="D2" s="35"/>
      <c r="E2" s="151" t="s">
        <v>2</v>
      </c>
      <c r="F2" s="151"/>
      <c r="G2" s="151"/>
      <c r="H2" s="151"/>
      <c r="I2" s="151"/>
      <c r="J2" s="151"/>
      <c r="K2" s="151"/>
      <c r="N2" s="152" t="s">
        <v>3</v>
      </c>
      <c r="O2" s="152"/>
      <c r="P2" s="152"/>
      <c r="Q2" s="152"/>
      <c r="R2" s="152"/>
      <c r="S2" s="152"/>
      <c r="T2" s="152"/>
      <c r="U2" s="152"/>
    </row>
    <row r="3" spans="1:22" ht="21.75" customHeight="1">
      <c r="A3" s="36"/>
      <c r="B3" s="37"/>
      <c r="C3" s="38"/>
      <c r="E3" s="143"/>
      <c r="F3" s="143"/>
      <c r="G3" s="143"/>
      <c r="H3" s="143"/>
      <c r="I3" s="143"/>
      <c r="J3" s="143"/>
      <c r="K3" s="143"/>
      <c r="N3" s="153" t="s">
        <v>4</v>
      </c>
      <c r="O3" s="153"/>
      <c r="P3" s="153"/>
      <c r="Q3" s="153"/>
      <c r="R3" s="153"/>
      <c r="S3" s="153"/>
      <c r="T3" s="153"/>
      <c r="U3" s="153"/>
    </row>
    <row r="4" spans="1:22" ht="21.75" customHeight="1">
      <c r="A4" s="36" t="s">
        <v>5</v>
      </c>
      <c r="B4" s="37"/>
      <c r="C4" s="39"/>
      <c r="E4" s="143"/>
      <c r="F4" s="143"/>
      <c r="G4" s="143"/>
      <c r="H4" s="143"/>
      <c r="I4" s="143"/>
      <c r="J4" s="143"/>
      <c r="K4" s="143"/>
      <c r="N4" s="144" t="s">
        <v>6</v>
      </c>
      <c r="O4" s="144"/>
      <c r="P4" s="144"/>
      <c r="Q4" s="144"/>
      <c r="R4" s="144"/>
      <c r="S4" s="144"/>
      <c r="T4" s="144"/>
      <c r="U4" s="144"/>
    </row>
    <row r="5" spans="1:22" ht="21.75" customHeight="1">
      <c r="A5" s="36" t="s">
        <v>7</v>
      </c>
      <c r="B5" s="145" t="s">
        <v>8</v>
      </c>
      <c r="C5" s="146"/>
      <c r="D5" s="41"/>
      <c r="E5" s="143"/>
      <c r="F5" s="143"/>
      <c r="G5" s="143"/>
      <c r="H5" s="143"/>
      <c r="I5" s="143"/>
      <c r="J5" s="143"/>
      <c r="K5" s="143"/>
      <c r="N5" s="144" t="s">
        <v>71</v>
      </c>
      <c r="O5" s="144"/>
      <c r="P5" s="144"/>
      <c r="Q5" s="144"/>
      <c r="R5" s="144"/>
      <c r="S5" s="144"/>
      <c r="T5" s="144"/>
      <c r="U5" s="144"/>
    </row>
    <row r="6" spans="1:22" ht="21.75" customHeight="1">
      <c r="A6" s="42" t="s">
        <v>9</v>
      </c>
      <c r="B6" s="147" t="s">
        <v>10</v>
      </c>
      <c r="C6" s="148"/>
      <c r="D6" s="41"/>
      <c r="N6" s="144"/>
      <c r="O6" s="144"/>
      <c r="P6" s="144"/>
      <c r="Q6" s="144"/>
      <c r="R6" s="144"/>
      <c r="S6" s="144"/>
      <c r="T6" s="92"/>
    </row>
    <row r="8" spans="1:22" ht="15.75" customHeight="1">
      <c r="A8" s="199" t="s">
        <v>11</v>
      </c>
      <c r="B8" s="190" t="s">
        <v>12</v>
      </c>
      <c r="C8" s="202" t="s">
        <v>13</v>
      </c>
      <c r="D8" s="204" t="s">
        <v>14</v>
      </c>
      <c r="E8" s="206" t="s">
        <v>15</v>
      </c>
      <c r="F8" s="194" t="s">
        <v>16</v>
      </c>
      <c r="G8" s="212"/>
      <c r="H8" s="212"/>
      <c r="I8" s="212"/>
      <c r="J8" s="212"/>
      <c r="K8" s="212"/>
      <c r="L8" s="212"/>
      <c r="M8" s="212"/>
      <c r="N8" s="212"/>
      <c r="O8" s="212"/>
      <c r="P8" s="212"/>
      <c r="Q8" s="212"/>
      <c r="R8" s="209" t="s">
        <v>17</v>
      </c>
      <c r="S8" s="157" t="s">
        <v>18</v>
      </c>
      <c r="T8" s="159" t="s">
        <v>19</v>
      </c>
      <c r="U8" s="29"/>
      <c r="V8" s="25"/>
    </row>
    <row r="9" spans="1:22" ht="21" customHeight="1">
      <c r="A9" s="200"/>
      <c r="B9" s="191"/>
      <c r="C9" s="203"/>
      <c r="D9" s="191"/>
      <c r="E9" s="207"/>
      <c r="F9" s="192">
        <f>'packing list'!B7</f>
        <v>26</v>
      </c>
      <c r="G9" s="192">
        <f t="shared" ref="G9:Q9" si="0">F9+1</f>
        <v>27</v>
      </c>
      <c r="H9" s="192">
        <f t="shared" si="0"/>
        <v>28</v>
      </c>
      <c r="I9" s="192">
        <f t="shared" si="0"/>
        <v>29</v>
      </c>
      <c r="J9" s="192">
        <f t="shared" si="0"/>
        <v>30</v>
      </c>
      <c r="K9" s="192">
        <f t="shared" si="0"/>
        <v>31</v>
      </c>
      <c r="L9" s="192">
        <f t="shared" si="0"/>
        <v>32</v>
      </c>
      <c r="M9" s="192">
        <f t="shared" si="0"/>
        <v>33</v>
      </c>
      <c r="N9" s="192">
        <f t="shared" si="0"/>
        <v>34</v>
      </c>
      <c r="O9" s="192">
        <f t="shared" si="0"/>
        <v>35</v>
      </c>
      <c r="P9" s="192">
        <f t="shared" si="0"/>
        <v>36</v>
      </c>
      <c r="Q9" s="194">
        <f t="shared" si="0"/>
        <v>37</v>
      </c>
      <c r="R9" s="210"/>
      <c r="S9" s="158"/>
      <c r="T9" s="160"/>
      <c r="U9" s="29"/>
      <c r="V9" s="25"/>
    </row>
    <row r="10" spans="1:22">
      <c r="A10" s="201"/>
      <c r="B10" s="44" t="s">
        <v>20</v>
      </c>
      <c r="C10" s="45" t="s">
        <v>21</v>
      </c>
      <c r="D10" s="205"/>
      <c r="E10" s="208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5"/>
      <c r="R10" s="211"/>
      <c r="S10" s="113" t="s">
        <v>22</v>
      </c>
      <c r="T10" s="114" t="s">
        <v>22</v>
      </c>
      <c r="U10" s="29"/>
      <c r="V10" s="25"/>
    </row>
    <row r="11" spans="1:22" s="24" customFormat="1" ht="27.75" customHeight="1" thickBot="1">
      <c r="A11" s="46"/>
      <c r="B11" s="47"/>
      <c r="C11" s="43"/>
      <c r="D11" s="48"/>
      <c r="E11" s="49" t="s">
        <v>23</v>
      </c>
      <c r="F11" s="50"/>
      <c r="G11" s="51"/>
      <c r="H11" s="51"/>
      <c r="I11" s="51"/>
      <c r="J11" s="93"/>
      <c r="K11" s="93"/>
      <c r="L11" s="51"/>
      <c r="M11" s="51"/>
      <c r="N11" s="51"/>
      <c r="O11" s="51"/>
      <c r="P11" s="51"/>
      <c r="Q11" s="115" t="str">
        <f>IFERROR(HLOOKUP(Q$9,'packing list'!$B$7:$H$36,30,0),"")</f>
        <v/>
      </c>
      <c r="R11" s="116">
        <f t="shared" ref="R11:R13" si="1">SUM(F11:Q11)</f>
        <v>0</v>
      </c>
      <c r="S11" s="117"/>
      <c r="T11" s="118">
        <f t="shared" ref="T11:T13" si="2">S11*R11</f>
        <v>0</v>
      </c>
      <c r="U11" s="119"/>
      <c r="V11" s="120"/>
    </row>
    <row r="12" spans="1:22" s="24" customFormat="1" ht="27.75" customHeight="1" thickBot="1">
      <c r="A12" s="52"/>
      <c r="B12" s="53"/>
      <c r="C12" s="53"/>
      <c r="D12" s="44"/>
      <c r="E12" s="49" t="s">
        <v>23</v>
      </c>
      <c r="F12" s="55"/>
      <c r="G12" s="56"/>
      <c r="H12" s="56"/>
      <c r="I12" s="56"/>
      <c r="J12" s="94"/>
      <c r="K12" s="94"/>
      <c r="L12" s="56"/>
      <c r="M12" s="94"/>
      <c r="N12" s="56"/>
      <c r="O12" s="56"/>
      <c r="P12" s="56"/>
      <c r="Q12" s="121"/>
      <c r="R12" s="116">
        <f t="shared" si="1"/>
        <v>0</v>
      </c>
      <c r="S12" s="117"/>
      <c r="T12" s="118">
        <f t="shared" si="2"/>
        <v>0</v>
      </c>
      <c r="U12" s="119"/>
      <c r="V12" s="120"/>
    </row>
    <row r="13" spans="1:22" s="24" customFormat="1" ht="27.75" customHeight="1">
      <c r="A13" s="57"/>
      <c r="B13" s="58"/>
      <c r="C13" s="53"/>
      <c r="D13" s="44"/>
      <c r="E13" s="49" t="s">
        <v>23</v>
      </c>
      <c r="F13" s="55"/>
      <c r="G13" s="56"/>
      <c r="H13" s="56"/>
      <c r="I13" s="56"/>
      <c r="J13" s="94"/>
      <c r="K13" s="94"/>
      <c r="L13" s="56"/>
      <c r="M13" s="94"/>
      <c r="N13" s="56"/>
      <c r="O13" s="56"/>
      <c r="P13" s="56"/>
      <c r="Q13" s="121"/>
      <c r="R13" s="116">
        <f t="shared" si="1"/>
        <v>0</v>
      </c>
      <c r="S13" s="117"/>
      <c r="T13" s="118">
        <f t="shared" si="2"/>
        <v>0</v>
      </c>
      <c r="U13" s="119"/>
      <c r="V13" s="120"/>
    </row>
    <row r="14" spans="1:22" s="24" customFormat="1" ht="27.75" customHeight="1">
      <c r="A14" s="57"/>
      <c r="B14" s="58"/>
      <c r="C14" s="53"/>
      <c r="D14" s="44"/>
      <c r="E14" s="54"/>
      <c r="F14" s="55"/>
      <c r="G14" s="56"/>
      <c r="H14" s="56"/>
      <c r="I14" s="56"/>
      <c r="J14" s="94"/>
      <c r="K14" s="94"/>
      <c r="L14" s="56"/>
      <c r="M14" s="94"/>
      <c r="N14" s="56"/>
      <c r="O14" s="56"/>
      <c r="P14" s="56"/>
      <c r="Q14" s="121"/>
      <c r="R14" s="116"/>
      <c r="S14" s="117"/>
      <c r="T14" s="118"/>
      <c r="U14" s="119"/>
      <c r="V14" s="120"/>
    </row>
    <row r="15" spans="1:22" s="24" customFormat="1" ht="27.75" customHeight="1">
      <c r="A15" s="59"/>
      <c r="B15" s="60"/>
      <c r="C15" s="60"/>
      <c r="D15" s="61"/>
      <c r="E15" s="62"/>
      <c r="F15" s="63"/>
      <c r="G15" s="64"/>
      <c r="H15" s="64"/>
      <c r="I15" s="64"/>
      <c r="J15" s="95"/>
      <c r="K15" s="95"/>
      <c r="L15" s="64"/>
      <c r="M15" s="95"/>
      <c r="N15" s="64"/>
      <c r="O15" s="64"/>
      <c r="P15" s="64"/>
      <c r="Q15" s="122"/>
      <c r="R15" s="123"/>
      <c r="S15" s="124"/>
      <c r="T15" s="125"/>
      <c r="U15" s="119"/>
    </row>
    <row r="16" spans="1:22" ht="27.75" customHeight="1">
      <c r="R16" s="126">
        <f>SUM(R11:R15)</f>
        <v>0</v>
      </c>
      <c r="S16" s="127"/>
      <c r="T16" s="128">
        <f>SUM(T11:T15)</f>
        <v>0</v>
      </c>
      <c r="U16" s="29"/>
      <c r="V16" s="25"/>
    </row>
    <row r="17" spans="1:25" ht="36.75" customHeight="1">
      <c r="A17" s="46" t="s">
        <v>24</v>
      </c>
      <c r="B17" s="226"/>
      <c r="C17" s="226"/>
      <c r="D17" s="227"/>
      <c r="V17" s="129"/>
      <c r="W17" s="130"/>
    </row>
    <row r="18" spans="1:25" ht="28.5" customHeight="1">
      <c r="A18" s="65" t="s">
        <v>25</v>
      </c>
      <c r="B18" s="228"/>
      <c r="C18" s="228"/>
      <c r="D18" s="229"/>
      <c r="F18" s="66"/>
      <c r="G18" s="66"/>
      <c r="H18" s="66"/>
      <c r="I18" s="66"/>
      <c r="J18" s="96"/>
      <c r="K18" s="66"/>
      <c r="L18" s="66"/>
      <c r="M18" s="66"/>
      <c r="N18" s="66"/>
      <c r="O18" s="66"/>
      <c r="P18" s="66"/>
      <c r="Q18" s="66"/>
      <c r="R18" s="66"/>
      <c r="S18" s="66"/>
      <c r="V18" s="24"/>
      <c r="W18" s="131"/>
    </row>
    <row r="19" spans="1:25" ht="24.75" customHeight="1">
      <c r="A19" s="67" t="s">
        <v>26</v>
      </c>
      <c r="B19" s="186"/>
      <c r="C19" s="186"/>
      <c r="D19" s="187"/>
      <c r="F19" s="66"/>
      <c r="G19" s="66"/>
      <c r="H19" s="66"/>
      <c r="I19" s="66"/>
      <c r="J19" s="96"/>
      <c r="K19" s="66"/>
      <c r="L19" s="66"/>
      <c r="M19" s="96"/>
      <c r="N19" s="97"/>
      <c r="O19" s="97"/>
      <c r="P19" s="97"/>
      <c r="Q19" s="97"/>
      <c r="R19" s="97"/>
      <c r="S19" s="66"/>
      <c r="V19" s="129"/>
      <c r="W19" s="130"/>
    </row>
    <row r="20" spans="1:25" ht="24.75" customHeight="1">
      <c r="A20" s="68" t="s">
        <v>27</v>
      </c>
      <c r="B20" s="188"/>
      <c r="C20" s="188"/>
      <c r="D20" s="189"/>
      <c r="F20" s="29"/>
      <c r="G20" s="29"/>
      <c r="H20" s="29"/>
      <c r="I20" s="29"/>
      <c r="J20" s="98"/>
      <c r="K20" s="99"/>
      <c r="L20" s="99"/>
      <c r="M20" s="100"/>
      <c r="N20" s="100"/>
      <c r="O20" s="100"/>
      <c r="P20" s="100"/>
      <c r="Q20" s="100"/>
      <c r="R20" s="100"/>
      <c r="S20" s="29"/>
      <c r="V20" s="132"/>
      <c r="W20" s="130"/>
      <c r="X20" s="133"/>
      <c r="Y20" s="133"/>
    </row>
    <row r="21" spans="1:25" ht="24.75" customHeight="1">
      <c r="A21" s="36" t="s">
        <v>28</v>
      </c>
      <c r="B21" s="182" t="s">
        <v>29</v>
      </c>
      <c r="C21" s="182"/>
      <c r="D21" s="183"/>
      <c r="F21" s="29"/>
      <c r="G21" s="29"/>
      <c r="H21" s="29"/>
      <c r="I21" s="29"/>
      <c r="J21" s="98"/>
      <c r="K21" s="99"/>
      <c r="L21" s="99"/>
      <c r="M21" s="100"/>
      <c r="N21" s="100"/>
      <c r="O21" s="100"/>
      <c r="P21" s="100"/>
      <c r="Q21" s="100"/>
      <c r="R21" s="100"/>
      <c r="S21" s="29"/>
      <c r="V21" s="132"/>
      <c r="W21" s="130"/>
      <c r="X21" s="133"/>
      <c r="Y21" s="133"/>
    </row>
    <row r="22" spans="1:25" ht="24.75" customHeight="1">
      <c r="A22" s="69"/>
      <c r="B22" s="184"/>
      <c r="C22" s="184"/>
      <c r="D22" s="185"/>
      <c r="F22" s="29"/>
      <c r="G22" s="29"/>
      <c r="H22" s="29"/>
      <c r="I22" s="29"/>
      <c r="J22" s="98"/>
      <c r="K22" s="99"/>
      <c r="L22" s="99"/>
      <c r="M22" s="100"/>
      <c r="N22" s="100"/>
      <c r="O22" s="100"/>
      <c r="P22" s="100"/>
      <c r="Q22" s="100"/>
      <c r="R22" s="100"/>
      <c r="S22" s="29"/>
      <c r="V22" s="132"/>
      <c r="W22" s="130"/>
      <c r="X22" s="133"/>
      <c r="Y22" s="133"/>
    </row>
    <row r="23" spans="1:25" ht="24.75" customHeight="1">
      <c r="A23" s="70" t="s">
        <v>30</v>
      </c>
      <c r="B23" s="186"/>
      <c r="C23" s="186"/>
      <c r="D23" s="187"/>
      <c r="F23" s="29"/>
      <c r="G23" s="29"/>
      <c r="H23" s="29"/>
      <c r="I23" s="29"/>
      <c r="J23" s="98"/>
      <c r="K23" s="99"/>
      <c r="L23" s="99"/>
      <c r="M23" s="100"/>
      <c r="N23" s="100"/>
      <c r="O23" s="100"/>
      <c r="P23" s="100"/>
      <c r="Q23" s="100"/>
      <c r="R23" s="100"/>
      <c r="S23" s="29"/>
      <c r="V23" s="132"/>
      <c r="W23" s="134"/>
      <c r="X23" s="133"/>
      <c r="Y23" s="133"/>
    </row>
    <row r="24" spans="1:25" ht="24.75" customHeight="1">
      <c r="A24" s="71" t="s">
        <v>31</v>
      </c>
      <c r="B24" s="178" t="s">
        <v>32</v>
      </c>
      <c r="C24" s="178"/>
      <c r="D24" s="179"/>
      <c r="F24" s="29"/>
      <c r="G24" s="29"/>
      <c r="H24" s="29"/>
      <c r="I24" s="29"/>
      <c r="J24" s="98"/>
      <c r="K24" s="99"/>
      <c r="L24" s="99"/>
      <c r="M24" s="100"/>
      <c r="N24" s="100"/>
      <c r="O24" s="100"/>
      <c r="P24" s="100"/>
      <c r="Q24" s="100"/>
      <c r="R24" s="100"/>
      <c r="S24" s="29"/>
      <c r="V24" s="132"/>
      <c r="W24" s="134"/>
      <c r="X24" s="133"/>
      <c r="Y24" s="133"/>
    </row>
    <row r="25" spans="1:25" ht="24.75" customHeight="1" thickBot="1">
      <c r="A25" s="72"/>
      <c r="B25" s="180"/>
      <c r="C25" s="180"/>
      <c r="D25" s="181"/>
      <c r="I25" s="213"/>
      <c r="J25" s="213"/>
      <c r="V25" s="132"/>
      <c r="W25" s="134"/>
      <c r="X25" s="133"/>
      <c r="Y25" s="133"/>
    </row>
    <row r="26" spans="1:25" ht="24.75" customHeight="1" thickBot="1">
      <c r="A26" s="73"/>
      <c r="B26" s="40" t="s">
        <v>32</v>
      </c>
      <c r="C26" s="40"/>
      <c r="D26" s="74"/>
      <c r="K26" s="101"/>
      <c r="L26" s="101"/>
      <c r="R26" s="135"/>
      <c r="S26" s="135"/>
      <c r="T26" s="135"/>
      <c r="U26" s="135"/>
      <c r="V26" s="135"/>
      <c r="W26" s="131"/>
    </row>
    <row r="27" spans="1:25" ht="28.5" customHeight="1">
      <c r="A27" s="154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6"/>
    </row>
    <row r="28" spans="1:25" ht="24.75" customHeight="1">
      <c r="A28" s="196">
        <f>C11</f>
        <v>0</v>
      </c>
      <c r="B28" s="197"/>
      <c r="C28" s="198"/>
      <c r="D28" s="197"/>
      <c r="E28" s="197"/>
      <c r="F28" s="197"/>
      <c r="G28" s="197"/>
      <c r="H28" s="197"/>
      <c r="I28" s="197"/>
      <c r="J28" s="197"/>
      <c r="K28" s="197"/>
      <c r="L28" s="196" t="s">
        <v>33</v>
      </c>
      <c r="M28" s="197"/>
      <c r="N28" s="197"/>
      <c r="O28" s="197"/>
      <c r="P28" s="197"/>
      <c r="Q28" s="197"/>
      <c r="R28" s="197"/>
      <c r="S28" s="197"/>
      <c r="T28" s="197"/>
      <c r="U28" s="198"/>
    </row>
    <row r="29" spans="1:25" ht="24.75" customHeight="1">
      <c r="A29" s="216"/>
      <c r="B29" s="216"/>
      <c r="C29" s="217"/>
      <c r="D29" s="220"/>
      <c r="E29" s="221"/>
      <c r="F29" s="230"/>
      <c r="G29" s="231"/>
      <c r="H29" s="231"/>
      <c r="I29" s="231"/>
      <c r="J29" s="231"/>
      <c r="K29" s="232"/>
      <c r="L29" s="230"/>
      <c r="M29" s="231"/>
      <c r="N29" s="231"/>
      <c r="O29" s="231"/>
      <c r="P29" s="231"/>
      <c r="Q29" s="231"/>
      <c r="R29" s="231"/>
      <c r="S29" s="231"/>
      <c r="T29" s="231"/>
      <c r="U29" s="232"/>
    </row>
    <row r="30" spans="1:25" ht="24.75" customHeight="1">
      <c r="A30" s="218"/>
      <c r="B30" s="218"/>
      <c r="C30" s="219"/>
      <c r="D30" s="222"/>
      <c r="E30" s="223"/>
      <c r="F30" s="233"/>
      <c r="G30" s="234"/>
      <c r="H30" s="234"/>
      <c r="I30" s="234"/>
      <c r="J30" s="234"/>
      <c r="K30" s="235"/>
      <c r="L30" s="233"/>
      <c r="M30" s="234"/>
      <c r="N30" s="234"/>
      <c r="O30" s="234"/>
      <c r="P30" s="234"/>
      <c r="Q30" s="234"/>
      <c r="R30" s="234"/>
      <c r="S30" s="234"/>
      <c r="T30" s="234"/>
      <c r="U30" s="235"/>
    </row>
    <row r="31" spans="1:25" ht="24.75" customHeight="1">
      <c r="A31" s="218"/>
      <c r="B31" s="218"/>
      <c r="C31" s="219"/>
      <c r="D31" s="222"/>
      <c r="E31" s="223"/>
      <c r="F31" s="233"/>
      <c r="G31" s="234"/>
      <c r="H31" s="234"/>
      <c r="I31" s="234"/>
      <c r="J31" s="234"/>
      <c r="K31" s="235"/>
      <c r="L31" s="233"/>
      <c r="M31" s="234"/>
      <c r="N31" s="234"/>
      <c r="O31" s="234"/>
      <c r="P31" s="234"/>
      <c r="Q31" s="234"/>
      <c r="R31" s="234"/>
      <c r="S31" s="234"/>
      <c r="T31" s="234"/>
      <c r="U31" s="235"/>
    </row>
    <row r="32" spans="1:25" ht="24.75" customHeight="1">
      <c r="A32" s="218"/>
      <c r="B32" s="218"/>
      <c r="C32" s="219"/>
      <c r="D32" s="222"/>
      <c r="E32" s="223"/>
      <c r="F32" s="233"/>
      <c r="G32" s="234"/>
      <c r="H32" s="234"/>
      <c r="I32" s="234"/>
      <c r="J32" s="234"/>
      <c r="K32" s="235"/>
      <c r="L32" s="233"/>
      <c r="M32" s="234"/>
      <c r="N32" s="234"/>
      <c r="O32" s="234"/>
      <c r="P32" s="234"/>
      <c r="Q32" s="234"/>
      <c r="R32" s="234"/>
      <c r="S32" s="234"/>
      <c r="T32" s="234"/>
      <c r="U32" s="235"/>
    </row>
    <row r="33" spans="1:21" ht="28.5" customHeight="1">
      <c r="A33" s="218"/>
      <c r="B33" s="218"/>
      <c r="C33" s="219"/>
      <c r="D33" s="222"/>
      <c r="E33" s="223"/>
      <c r="F33" s="233"/>
      <c r="G33" s="234"/>
      <c r="H33" s="234"/>
      <c r="I33" s="234"/>
      <c r="J33" s="234"/>
      <c r="K33" s="235"/>
      <c r="L33" s="233"/>
      <c r="M33" s="234"/>
      <c r="N33" s="234"/>
      <c r="O33" s="234"/>
      <c r="P33" s="234"/>
      <c r="Q33" s="234"/>
      <c r="R33" s="234"/>
      <c r="S33" s="234"/>
      <c r="T33" s="234"/>
      <c r="U33" s="235"/>
    </row>
    <row r="34" spans="1:21" ht="24.75" customHeight="1">
      <c r="A34" s="218"/>
      <c r="B34" s="218"/>
      <c r="C34" s="219"/>
      <c r="D34" s="222"/>
      <c r="E34" s="223"/>
      <c r="F34" s="233"/>
      <c r="G34" s="234"/>
      <c r="H34" s="234"/>
      <c r="I34" s="234"/>
      <c r="J34" s="234"/>
      <c r="K34" s="235"/>
      <c r="L34" s="233"/>
      <c r="M34" s="234"/>
      <c r="N34" s="234"/>
      <c r="O34" s="234"/>
      <c r="P34" s="234"/>
      <c r="Q34" s="234"/>
      <c r="R34" s="234"/>
      <c r="S34" s="234"/>
      <c r="T34" s="234"/>
      <c r="U34" s="235"/>
    </row>
    <row r="35" spans="1:21" ht="24.75" customHeight="1">
      <c r="A35" s="218"/>
      <c r="B35" s="218"/>
      <c r="C35" s="219"/>
      <c r="D35" s="222"/>
      <c r="E35" s="223"/>
      <c r="F35" s="233"/>
      <c r="G35" s="234"/>
      <c r="H35" s="234"/>
      <c r="I35" s="234"/>
      <c r="J35" s="234"/>
      <c r="K35" s="235"/>
      <c r="L35" s="233"/>
      <c r="M35" s="234"/>
      <c r="N35" s="234"/>
      <c r="O35" s="234"/>
      <c r="P35" s="234"/>
      <c r="Q35" s="234"/>
      <c r="R35" s="234"/>
      <c r="S35" s="234"/>
      <c r="T35" s="234"/>
      <c r="U35" s="235"/>
    </row>
    <row r="36" spans="1:21" ht="30.75" customHeight="1">
      <c r="A36" s="254"/>
      <c r="B36" s="218"/>
      <c r="C36" s="219"/>
      <c r="D36" s="224"/>
      <c r="E36" s="225"/>
      <c r="F36" s="236"/>
      <c r="G36" s="237"/>
      <c r="H36" s="237"/>
      <c r="I36" s="237"/>
      <c r="J36" s="237"/>
      <c r="K36" s="238"/>
      <c r="L36" s="236"/>
      <c r="M36" s="237"/>
      <c r="N36" s="237"/>
      <c r="O36" s="237"/>
      <c r="P36" s="237"/>
      <c r="Q36" s="237"/>
      <c r="R36" s="237"/>
      <c r="S36" s="237"/>
      <c r="T36" s="237"/>
      <c r="U36" s="238"/>
    </row>
    <row r="37" spans="1:21" ht="39" customHeight="1">
      <c r="A37" s="75">
        <f>D11</f>
        <v>0</v>
      </c>
      <c r="B37" s="164">
        <f>D12</f>
        <v>0</v>
      </c>
      <c r="C37" s="165"/>
      <c r="D37" s="164"/>
      <c r="E37" s="165"/>
      <c r="F37" s="166"/>
      <c r="G37" s="167"/>
      <c r="H37" s="167"/>
      <c r="I37" s="167"/>
      <c r="J37" s="167"/>
      <c r="K37" s="168"/>
      <c r="L37" s="169"/>
      <c r="M37" s="170"/>
      <c r="N37" s="170"/>
      <c r="O37" s="170"/>
      <c r="P37" s="171"/>
      <c r="Q37" s="172"/>
      <c r="R37" s="172"/>
      <c r="S37" s="172"/>
      <c r="T37" s="172"/>
      <c r="U37" s="173"/>
    </row>
    <row r="38" spans="1:21" ht="14.25" customHeight="1">
      <c r="A38" s="164"/>
      <c r="B38" s="247"/>
      <c r="C38" s="247"/>
      <c r="D38" s="248"/>
      <c r="E38" s="248"/>
      <c r="F38" s="247"/>
      <c r="G38" s="247"/>
      <c r="H38" s="247"/>
      <c r="I38" s="247"/>
      <c r="J38" s="247"/>
      <c r="K38" s="247"/>
      <c r="L38" s="247"/>
      <c r="M38" s="247"/>
      <c r="N38" s="247"/>
      <c r="O38" s="247"/>
      <c r="P38" s="247"/>
      <c r="Q38" s="247"/>
      <c r="R38" s="247"/>
      <c r="S38" s="249"/>
      <c r="T38" s="25"/>
      <c r="U38" s="25"/>
    </row>
    <row r="39" spans="1:21">
      <c r="A39" s="161" t="s">
        <v>34</v>
      </c>
      <c r="B39" s="250"/>
      <c r="C39" s="251" t="s">
        <v>35</v>
      </c>
      <c r="D39" s="252"/>
      <c r="E39" s="252"/>
      <c r="F39" s="252"/>
      <c r="G39" s="252"/>
      <c r="H39" s="252"/>
      <c r="I39" s="252"/>
      <c r="J39" s="252"/>
      <c r="K39" s="253"/>
      <c r="L39" s="162" t="s">
        <v>36</v>
      </c>
      <c r="M39" s="162"/>
      <c r="N39" s="162"/>
      <c r="O39" s="162"/>
      <c r="P39" s="163"/>
      <c r="Q39" s="161" t="s">
        <v>37</v>
      </c>
      <c r="R39" s="162"/>
      <c r="S39" s="163"/>
      <c r="T39" s="174" t="s">
        <v>38</v>
      </c>
      <c r="U39" s="175"/>
    </row>
    <row r="40" spans="1:21">
      <c r="A40" s="239" t="s">
        <v>39</v>
      </c>
      <c r="B40" s="240"/>
      <c r="C40" s="239" t="s">
        <v>40</v>
      </c>
      <c r="D40" s="240"/>
      <c r="E40" s="240"/>
      <c r="F40" s="240"/>
      <c r="G40" s="240"/>
      <c r="H40" s="240"/>
      <c r="I40" s="240"/>
      <c r="J40" s="240"/>
      <c r="K40" s="241"/>
      <c r="L40" s="240" t="s">
        <v>41</v>
      </c>
      <c r="M40" s="240"/>
      <c r="N40" s="240"/>
      <c r="O40" s="240"/>
      <c r="P40" s="241"/>
      <c r="Q40" s="242" t="s">
        <v>42</v>
      </c>
      <c r="R40" s="243"/>
      <c r="S40" s="244"/>
      <c r="T40" s="176"/>
      <c r="U40" s="177"/>
    </row>
    <row r="41" spans="1:21">
      <c r="A41" s="76"/>
      <c r="B41" s="77"/>
      <c r="C41" s="78"/>
      <c r="D41" s="79"/>
      <c r="E41" s="79"/>
      <c r="F41" s="80"/>
      <c r="G41" s="80"/>
      <c r="H41" s="80"/>
      <c r="I41" s="102"/>
      <c r="J41" s="103"/>
      <c r="K41" s="104"/>
      <c r="L41" s="77"/>
      <c r="M41" s="77"/>
      <c r="N41" s="77"/>
      <c r="O41" s="79"/>
      <c r="P41" s="105"/>
      <c r="Q41" s="136"/>
      <c r="R41" s="79"/>
      <c r="S41" s="137"/>
      <c r="T41" s="214"/>
      <c r="U41" s="215"/>
    </row>
    <row r="42" spans="1:21">
      <c r="A42" s="76"/>
      <c r="B42" s="77"/>
      <c r="C42" s="76"/>
      <c r="D42" s="77"/>
      <c r="E42" s="77"/>
      <c r="F42" s="81"/>
      <c r="G42" s="81"/>
      <c r="H42" s="81"/>
      <c r="I42" s="103"/>
      <c r="J42" s="103"/>
      <c r="K42" s="104"/>
      <c r="L42" s="77"/>
      <c r="M42" s="77"/>
      <c r="N42" s="77"/>
      <c r="O42" s="77"/>
      <c r="P42" s="106"/>
      <c r="Q42" s="76"/>
      <c r="R42" s="77"/>
      <c r="S42" s="138"/>
      <c r="T42" s="214"/>
      <c r="U42" s="215"/>
    </row>
    <row r="43" spans="1:21">
      <c r="A43" s="76"/>
      <c r="B43" s="77"/>
      <c r="C43" s="76"/>
      <c r="D43" s="77"/>
      <c r="E43" s="77"/>
      <c r="F43" s="81"/>
      <c r="G43" s="81"/>
      <c r="H43" s="81"/>
      <c r="I43" s="103"/>
      <c r="J43" s="103"/>
      <c r="K43" s="104"/>
      <c r="L43" s="77"/>
      <c r="M43" s="77"/>
      <c r="N43" s="77"/>
      <c r="O43" s="77"/>
      <c r="P43" s="106"/>
      <c r="Q43" s="76"/>
      <c r="R43" s="77"/>
      <c r="S43" s="138"/>
      <c r="T43" s="214"/>
      <c r="U43" s="215"/>
    </row>
    <row r="44" spans="1:21">
      <c r="A44" s="76"/>
      <c r="B44" s="77"/>
      <c r="C44" s="76"/>
      <c r="D44" s="77"/>
      <c r="E44" s="77"/>
      <c r="F44" s="81"/>
      <c r="G44" s="81"/>
      <c r="H44" s="81"/>
      <c r="I44" s="103"/>
      <c r="J44" s="103"/>
      <c r="K44" s="104"/>
      <c r="L44" s="77"/>
      <c r="M44" s="77"/>
      <c r="N44" s="77"/>
      <c r="O44" s="77"/>
      <c r="P44" s="106"/>
      <c r="Q44" s="76"/>
      <c r="R44" s="77"/>
      <c r="S44" s="138"/>
      <c r="T44" s="214"/>
      <c r="U44" s="215"/>
    </row>
    <row r="45" spans="1:21">
      <c r="A45" s="76"/>
      <c r="B45" s="77"/>
      <c r="C45" s="82"/>
      <c r="D45" s="83"/>
      <c r="E45" s="77"/>
      <c r="F45" s="77"/>
      <c r="G45" s="77"/>
      <c r="H45" s="77"/>
      <c r="I45" s="103"/>
      <c r="J45" s="103"/>
      <c r="K45" s="104"/>
      <c r="L45" s="77"/>
      <c r="M45" s="77"/>
      <c r="N45" s="77"/>
      <c r="O45" s="77"/>
      <c r="P45" s="106"/>
      <c r="Q45" s="76"/>
      <c r="R45" s="77"/>
      <c r="S45" s="138"/>
      <c r="T45" s="214"/>
      <c r="U45" s="215"/>
    </row>
    <row r="46" spans="1:21">
      <c r="A46" s="76"/>
      <c r="B46" s="77"/>
      <c r="C46" s="84"/>
      <c r="D46" s="85"/>
      <c r="E46" s="77"/>
      <c r="F46" s="77"/>
      <c r="G46" s="77"/>
      <c r="H46" s="77"/>
      <c r="I46" s="103"/>
      <c r="J46" s="103"/>
      <c r="K46" s="104"/>
      <c r="L46" s="77"/>
      <c r="M46" s="77"/>
      <c r="N46" s="77"/>
      <c r="O46" s="77"/>
      <c r="P46" s="107"/>
      <c r="Q46" s="139"/>
      <c r="R46" s="140"/>
      <c r="S46" s="138"/>
      <c r="T46" s="214"/>
      <c r="U46" s="215"/>
    </row>
    <row r="47" spans="1:21">
      <c r="A47" s="76"/>
      <c r="B47" s="77"/>
      <c r="C47" s="84"/>
      <c r="D47" s="85"/>
      <c r="E47" s="77"/>
      <c r="F47" s="77"/>
      <c r="G47" s="77"/>
      <c r="H47" s="77"/>
      <c r="I47" s="103"/>
      <c r="J47" s="103"/>
      <c r="K47" s="104"/>
      <c r="L47" s="77"/>
      <c r="M47" s="77"/>
      <c r="N47" s="77"/>
      <c r="O47" s="77"/>
      <c r="P47" s="107"/>
      <c r="Q47" s="139"/>
      <c r="R47" s="140"/>
      <c r="S47" s="138"/>
      <c r="T47" s="214"/>
      <c r="U47" s="215"/>
    </row>
    <row r="48" spans="1:21" ht="18.75">
      <c r="A48" s="76"/>
      <c r="B48" s="77"/>
      <c r="C48" s="84"/>
      <c r="D48" s="85"/>
      <c r="E48" s="77"/>
      <c r="F48" s="77"/>
      <c r="G48" s="77"/>
      <c r="H48" s="77"/>
      <c r="I48" s="103"/>
      <c r="J48" s="103"/>
      <c r="K48" s="108"/>
      <c r="L48" s="103"/>
      <c r="M48" s="103"/>
      <c r="N48" s="103"/>
      <c r="O48" s="103"/>
      <c r="P48" s="103"/>
      <c r="Q48" s="139"/>
      <c r="R48" s="140"/>
      <c r="S48" s="138"/>
      <c r="T48" s="214"/>
      <c r="U48" s="215"/>
    </row>
    <row r="49" spans="1:21">
      <c r="A49" s="76"/>
      <c r="B49" s="77"/>
      <c r="C49" s="84"/>
      <c r="D49" s="85"/>
      <c r="E49" s="77"/>
      <c r="F49" s="77"/>
      <c r="G49" s="77"/>
      <c r="H49" s="77"/>
      <c r="I49" s="103"/>
      <c r="J49" s="103"/>
      <c r="K49" s="104"/>
      <c r="L49" s="77"/>
      <c r="M49" s="77"/>
      <c r="N49" s="77"/>
      <c r="O49" s="77"/>
      <c r="P49" s="107"/>
      <c r="Q49" s="139"/>
      <c r="R49" s="140"/>
      <c r="S49" s="138"/>
      <c r="T49" s="214"/>
      <c r="U49" s="215"/>
    </row>
    <row r="50" spans="1:21" ht="18.75">
      <c r="A50" s="76"/>
      <c r="B50" s="77"/>
      <c r="C50" s="84"/>
      <c r="D50" s="85"/>
      <c r="E50" s="77"/>
      <c r="F50" s="77"/>
      <c r="G50" s="77"/>
      <c r="H50" s="77"/>
      <c r="I50" s="103"/>
      <c r="J50" s="103"/>
      <c r="K50" s="104"/>
      <c r="L50" s="245" t="s">
        <v>43</v>
      </c>
      <c r="M50" s="245"/>
      <c r="N50" s="245"/>
      <c r="O50" s="245"/>
      <c r="P50" s="246"/>
      <c r="Q50" s="139"/>
      <c r="R50" s="140"/>
      <c r="S50" s="138"/>
      <c r="T50" s="214"/>
      <c r="U50" s="215"/>
    </row>
    <row r="51" spans="1:21">
      <c r="A51" s="76"/>
      <c r="B51" s="77"/>
      <c r="C51" s="84"/>
      <c r="D51" s="85"/>
      <c r="E51" s="77"/>
      <c r="F51" s="77"/>
      <c r="G51" s="77"/>
      <c r="H51" s="77"/>
      <c r="I51" s="103"/>
      <c r="J51" s="103"/>
      <c r="K51" s="104"/>
      <c r="L51" s="77"/>
      <c r="M51" s="77"/>
      <c r="N51" s="77"/>
      <c r="O51" s="77"/>
      <c r="P51" s="107"/>
      <c r="Q51" s="139"/>
      <c r="R51" s="140"/>
      <c r="S51" s="138"/>
      <c r="T51" s="214"/>
      <c r="U51" s="215"/>
    </row>
    <row r="52" spans="1:21">
      <c r="A52" s="76"/>
      <c r="B52" s="77"/>
      <c r="C52" s="84"/>
      <c r="D52" s="85"/>
      <c r="E52" s="77"/>
      <c r="F52" s="77"/>
      <c r="G52" s="77"/>
      <c r="H52" s="77"/>
      <c r="I52" s="103"/>
      <c r="J52" s="103"/>
      <c r="K52" s="104"/>
      <c r="L52" s="77"/>
      <c r="M52" s="77"/>
      <c r="N52" s="77"/>
      <c r="O52" s="77"/>
      <c r="P52" s="107"/>
      <c r="Q52" s="139"/>
      <c r="R52" s="140"/>
      <c r="S52" s="138"/>
      <c r="T52" s="214"/>
      <c r="U52" s="215"/>
    </row>
    <row r="53" spans="1:21">
      <c r="A53" s="86"/>
      <c r="B53" s="87"/>
      <c r="C53" s="88"/>
      <c r="D53" s="89"/>
      <c r="E53" s="90"/>
      <c r="F53" s="91"/>
      <c r="G53" s="91"/>
      <c r="H53" s="91"/>
      <c r="I53" s="109"/>
      <c r="J53" s="109"/>
      <c r="K53" s="110"/>
      <c r="L53" s="111"/>
      <c r="M53" s="87"/>
      <c r="N53" s="87"/>
      <c r="O53" s="87"/>
      <c r="P53" s="112"/>
      <c r="Q53" s="141"/>
      <c r="R53" s="111"/>
      <c r="S53" s="142"/>
      <c r="T53" s="214"/>
      <c r="U53" s="215"/>
    </row>
  </sheetData>
  <mergeCells count="66">
    <mergeCell ref="T41:U53"/>
    <mergeCell ref="B29:C36"/>
    <mergeCell ref="D29:E36"/>
    <mergeCell ref="B17:D18"/>
    <mergeCell ref="F29:K36"/>
    <mergeCell ref="L29:U36"/>
    <mergeCell ref="A40:B40"/>
    <mergeCell ref="C40:K40"/>
    <mergeCell ref="L40:P40"/>
    <mergeCell ref="Q40:S40"/>
    <mergeCell ref="L50:P50"/>
    <mergeCell ref="A38:S38"/>
    <mergeCell ref="A39:B39"/>
    <mergeCell ref="C39:K39"/>
    <mergeCell ref="L39:P39"/>
    <mergeCell ref="A29:A36"/>
    <mergeCell ref="K9:K10"/>
    <mergeCell ref="L9:L10"/>
    <mergeCell ref="M9:M10"/>
    <mergeCell ref="N9:N10"/>
    <mergeCell ref="O9:O10"/>
    <mergeCell ref="A28:C28"/>
    <mergeCell ref="D28:K28"/>
    <mergeCell ref="L28:U28"/>
    <mergeCell ref="A8:A10"/>
    <mergeCell ref="F9:F10"/>
    <mergeCell ref="G9:G10"/>
    <mergeCell ref="H9:H10"/>
    <mergeCell ref="I9:I10"/>
    <mergeCell ref="J9:J10"/>
    <mergeCell ref="C8:C9"/>
    <mergeCell ref="D8:D10"/>
    <mergeCell ref="E8:E10"/>
    <mergeCell ref="B23:D23"/>
    <mergeCell ref="R8:R10"/>
    <mergeCell ref="F8:Q8"/>
    <mergeCell ref="I25:J25"/>
    <mergeCell ref="A27:U27"/>
    <mergeCell ref="S8:S9"/>
    <mergeCell ref="T8:T9"/>
    <mergeCell ref="Q39:S39"/>
    <mergeCell ref="B37:C37"/>
    <mergeCell ref="D37:E37"/>
    <mergeCell ref="F37:K37"/>
    <mergeCell ref="L37:P37"/>
    <mergeCell ref="Q37:U37"/>
    <mergeCell ref="T39:U40"/>
    <mergeCell ref="B24:D25"/>
    <mergeCell ref="B21:D22"/>
    <mergeCell ref="B19:D20"/>
    <mergeCell ref="B8:B9"/>
    <mergeCell ref="P9:P10"/>
    <mergeCell ref="Q9:Q10"/>
    <mergeCell ref="A1:C1"/>
    <mergeCell ref="N1:U1"/>
    <mergeCell ref="E2:K2"/>
    <mergeCell ref="N2:U2"/>
    <mergeCell ref="E3:K3"/>
    <mergeCell ref="N3:U3"/>
    <mergeCell ref="E4:K4"/>
    <mergeCell ref="N4:U4"/>
    <mergeCell ref="B5:C5"/>
    <mergeCell ref="N5:U5"/>
    <mergeCell ref="B6:C6"/>
    <mergeCell ref="N6:S6"/>
    <mergeCell ref="E5:K5"/>
  </mergeCells>
  <printOptions horizontalCentered="1" verticalCentered="1"/>
  <pageMargins left="0.11811023622047245" right="0.11811023622047245" top="0.11811023622047245" bottom="0.11811023622047245" header="0.11811023622047245" footer="0.11811023622047245"/>
  <pageSetup paperSize="9" scale="36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WR71"/>
  <sheetViews>
    <sheetView topLeftCell="A15" zoomScale="70" zoomScaleNormal="70" workbookViewId="0">
      <selection activeCell="Q72" sqref="P72:Q74"/>
    </sheetView>
  </sheetViews>
  <sheetFormatPr defaultColWidth="8.85546875" defaultRowHeight="12.75"/>
  <cols>
    <col min="1" max="1" width="12.5703125" style="1" customWidth="1"/>
    <col min="2" max="6" width="8.85546875" style="1"/>
    <col min="7" max="7" width="8.85546875" style="1" customWidth="1"/>
    <col min="8" max="8" width="8.85546875" style="1"/>
    <col min="9" max="11" width="6.140625" style="1" customWidth="1"/>
    <col min="12" max="12" width="8.85546875" style="2"/>
    <col min="13" max="13" width="8.85546875" style="1"/>
    <col min="14" max="21" width="8.85546875" style="1" customWidth="1"/>
    <col min="22" max="24" width="6.85546875" style="1" customWidth="1"/>
    <col min="25" max="33" width="8.85546875" style="1" customWidth="1"/>
    <col min="34" max="36" width="6.140625" style="1" customWidth="1"/>
    <col min="37" max="245" width="8.85546875" style="1"/>
    <col min="246" max="246" width="12.5703125" style="1" customWidth="1"/>
    <col min="247" max="253" width="8.85546875" style="1"/>
    <col min="254" max="256" width="6.140625" style="1" customWidth="1"/>
    <col min="257" max="257" width="8.85546875" style="1"/>
    <col min="258" max="258" width="13.42578125" style="1" customWidth="1"/>
    <col min="259" max="265" width="8.85546875" style="1"/>
    <col min="266" max="268" width="6" style="1" customWidth="1"/>
    <col min="269" max="269" width="8.85546875" style="1"/>
    <col min="270" max="292" width="8.85546875" style="1" hidden="1" customWidth="1"/>
    <col min="293" max="501" width="8.85546875" style="1"/>
    <col min="502" max="502" width="12.5703125" style="1" customWidth="1"/>
    <col min="503" max="509" width="8.85546875" style="1"/>
    <col min="510" max="512" width="6.140625" style="1" customWidth="1"/>
    <col min="513" max="513" width="8.85546875" style="1"/>
    <col min="514" max="514" width="13.42578125" style="1" customWidth="1"/>
    <col min="515" max="521" width="8.85546875" style="1"/>
    <col min="522" max="524" width="6" style="1" customWidth="1"/>
    <col min="525" max="525" width="8.85546875" style="1"/>
    <col min="526" max="548" width="8.85546875" style="1" hidden="1" customWidth="1"/>
    <col min="549" max="757" width="8.85546875" style="1"/>
    <col min="758" max="758" width="12.5703125" style="1" customWidth="1"/>
    <col min="759" max="765" width="8.85546875" style="1"/>
    <col min="766" max="768" width="6.140625" style="1" customWidth="1"/>
    <col min="769" max="769" width="8.85546875" style="1"/>
    <col min="770" max="770" width="13.42578125" style="1" customWidth="1"/>
    <col min="771" max="777" width="8.85546875" style="1"/>
    <col min="778" max="780" width="6" style="1" customWidth="1"/>
    <col min="781" max="781" width="8.85546875" style="1"/>
    <col min="782" max="804" width="8.85546875" style="1" hidden="1" customWidth="1"/>
    <col min="805" max="1013" width="8.85546875" style="1"/>
    <col min="1014" max="1014" width="12.5703125" style="1" customWidth="1"/>
    <col min="1015" max="1021" width="8.85546875" style="1"/>
    <col min="1022" max="1024" width="6.140625" style="1" customWidth="1"/>
    <col min="1025" max="1025" width="8.85546875" style="1"/>
    <col min="1026" max="1026" width="13.42578125" style="1" customWidth="1"/>
    <col min="1027" max="1033" width="8.85546875" style="1"/>
    <col min="1034" max="1036" width="6" style="1" customWidth="1"/>
    <col min="1037" max="1037" width="8.85546875" style="1"/>
    <col min="1038" max="1060" width="8.85546875" style="1" hidden="1" customWidth="1"/>
    <col min="1061" max="1269" width="8.85546875" style="1"/>
    <col min="1270" max="1270" width="12.5703125" style="1" customWidth="1"/>
    <col min="1271" max="1277" width="8.85546875" style="1"/>
    <col min="1278" max="1280" width="6.140625" style="1" customWidth="1"/>
    <col min="1281" max="1281" width="8.85546875" style="1"/>
    <col min="1282" max="1282" width="13.42578125" style="1" customWidth="1"/>
    <col min="1283" max="1289" width="8.85546875" style="1"/>
    <col min="1290" max="1292" width="6" style="1" customWidth="1"/>
    <col min="1293" max="1293" width="8.85546875" style="1"/>
    <col min="1294" max="1316" width="8.85546875" style="1" hidden="1" customWidth="1"/>
    <col min="1317" max="1525" width="8.85546875" style="1"/>
    <col min="1526" max="1526" width="12.5703125" style="1" customWidth="1"/>
    <col min="1527" max="1533" width="8.85546875" style="1"/>
    <col min="1534" max="1536" width="6.140625" style="1" customWidth="1"/>
    <col min="1537" max="1537" width="8.85546875" style="1"/>
    <col min="1538" max="1538" width="13.42578125" style="1" customWidth="1"/>
    <col min="1539" max="1545" width="8.85546875" style="1"/>
    <col min="1546" max="1548" width="6" style="1" customWidth="1"/>
    <col min="1549" max="1549" width="8.85546875" style="1"/>
    <col min="1550" max="1572" width="8.85546875" style="1" hidden="1" customWidth="1"/>
    <col min="1573" max="1781" width="8.85546875" style="1"/>
    <col min="1782" max="1782" width="12.5703125" style="1" customWidth="1"/>
    <col min="1783" max="1789" width="8.85546875" style="1"/>
    <col min="1790" max="1792" width="6.140625" style="1" customWidth="1"/>
    <col min="1793" max="1793" width="8.85546875" style="1"/>
    <col min="1794" max="1794" width="13.42578125" style="1" customWidth="1"/>
    <col min="1795" max="1801" width="8.85546875" style="1"/>
    <col min="1802" max="1804" width="6" style="1" customWidth="1"/>
    <col min="1805" max="1805" width="8.85546875" style="1"/>
    <col min="1806" max="1828" width="8.85546875" style="1" hidden="1" customWidth="1"/>
    <col min="1829" max="2037" width="8.85546875" style="1"/>
    <col min="2038" max="2038" width="12.5703125" style="1" customWidth="1"/>
    <col min="2039" max="2045" width="8.85546875" style="1"/>
    <col min="2046" max="2048" width="6.140625" style="1" customWidth="1"/>
    <col min="2049" max="2049" width="8.85546875" style="1"/>
    <col min="2050" max="2050" width="13.42578125" style="1" customWidth="1"/>
    <col min="2051" max="2057" width="8.85546875" style="1"/>
    <col min="2058" max="2060" width="6" style="1" customWidth="1"/>
    <col min="2061" max="2061" width="8.85546875" style="1"/>
    <col min="2062" max="2084" width="8.85546875" style="1" hidden="1" customWidth="1"/>
    <col min="2085" max="2293" width="8.85546875" style="1"/>
    <col min="2294" max="2294" width="12.5703125" style="1" customWidth="1"/>
    <col min="2295" max="2301" width="8.85546875" style="1"/>
    <col min="2302" max="2304" width="6.140625" style="1" customWidth="1"/>
    <col min="2305" max="2305" width="8.85546875" style="1"/>
    <col min="2306" max="2306" width="13.42578125" style="1" customWidth="1"/>
    <col min="2307" max="2313" width="8.85546875" style="1"/>
    <col min="2314" max="2316" width="6" style="1" customWidth="1"/>
    <col min="2317" max="2317" width="8.85546875" style="1"/>
    <col min="2318" max="2340" width="8.85546875" style="1" hidden="1" customWidth="1"/>
    <col min="2341" max="2549" width="8.85546875" style="1"/>
    <col min="2550" max="2550" width="12.5703125" style="1" customWidth="1"/>
    <col min="2551" max="2557" width="8.85546875" style="1"/>
    <col min="2558" max="2560" width="6.140625" style="1" customWidth="1"/>
    <col min="2561" max="2561" width="8.85546875" style="1"/>
    <col min="2562" max="2562" width="13.42578125" style="1" customWidth="1"/>
    <col min="2563" max="2569" width="8.85546875" style="1"/>
    <col min="2570" max="2572" width="6" style="1" customWidth="1"/>
    <col min="2573" max="2573" width="8.85546875" style="1"/>
    <col min="2574" max="2596" width="8.85546875" style="1" hidden="1" customWidth="1"/>
    <col min="2597" max="2805" width="8.85546875" style="1"/>
    <col min="2806" max="2806" width="12.5703125" style="1" customWidth="1"/>
    <col min="2807" max="2813" width="8.85546875" style="1"/>
    <col min="2814" max="2816" width="6.140625" style="1" customWidth="1"/>
    <col min="2817" max="2817" width="8.85546875" style="1"/>
    <col min="2818" max="2818" width="13.42578125" style="1" customWidth="1"/>
    <col min="2819" max="2825" width="8.85546875" style="1"/>
    <col min="2826" max="2828" width="6" style="1" customWidth="1"/>
    <col min="2829" max="2829" width="8.85546875" style="1"/>
    <col min="2830" max="2852" width="8.85546875" style="1" hidden="1" customWidth="1"/>
    <col min="2853" max="3061" width="8.85546875" style="1"/>
    <col min="3062" max="3062" width="12.5703125" style="1" customWidth="1"/>
    <col min="3063" max="3069" width="8.85546875" style="1"/>
    <col min="3070" max="3072" width="6.140625" style="1" customWidth="1"/>
    <col min="3073" max="3073" width="8.85546875" style="1"/>
    <col min="3074" max="3074" width="13.42578125" style="1" customWidth="1"/>
    <col min="3075" max="3081" width="8.85546875" style="1"/>
    <col min="3082" max="3084" width="6" style="1" customWidth="1"/>
    <col min="3085" max="3085" width="8.85546875" style="1"/>
    <col min="3086" max="3108" width="8.85546875" style="1" hidden="1" customWidth="1"/>
    <col min="3109" max="3317" width="8.85546875" style="1"/>
    <col min="3318" max="3318" width="12.5703125" style="1" customWidth="1"/>
    <col min="3319" max="3325" width="8.85546875" style="1"/>
    <col min="3326" max="3328" width="6.140625" style="1" customWidth="1"/>
    <col min="3329" max="3329" width="8.85546875" style="1"/>
    <col min="3330" max="3330" width="13.42578125" style="1" customWidth="1"/>
    <col min="3331" max="3337" width="8.85546875" style="1"/>
    <col min="3338" max="3340" width="6" style="1" customWidth="1"/>
    <col min="3341" max="3341" width="8.85546875" style="1"/>
    <col min="3342" max="3364" width="8.85546875" style="1" hidden="1" customWidth="1"/>
    <col min="3365" max="3573" width="8.85546875" style="1"/>
    <col min="3574" max="3574" width="12.5703125" style="1" customWidth="1"/>
    <col min="3575" max="3581" width="8.85546875" style="1"/>
    <col min="3582" max="3584" width="6.140625" style="1" customWidth="1"/>
    <col min="3585" max="3585" width="8.85546875" style="1"/>
    <col min="3586" max="3586" width="13.42578125" style="1" customWidth="1"/>
    <col min="3587" max="3593" width="8.85546875" style="1"/>
    <col min="3594" max="3596" width="6" style="1" customWidth="1"/>
    <col min="3597" max="3597" width="8.85546875" style="1"/>
    <col min="3598" max="3620" width="8.85546875" style="1" hidden="1" customWidth="1"/>
    <col min="3621" max="3829" width="8.85546875" style="1"/>
    <col min="3830" max="3830" width="12.5703125" style="1" customWidth="1"/>
    <col min="3831" max="3837" width="8.85546875" style="1"/>
    <col min="3838" max="3840" width="6.140625" style="1" customWidth="1"/>
    <col min="3841" max="3841" width="8.85546875" style="1"/>
    <col min="3842" max="3842" width="13.42578125" style="1" customWidth="1"/>
    <col min="3843" max="3849" width="8.85546875" style="1"/>
    <col min="3850" max="3852" width="6" style="1" customWidth="1"/>
    <col min="3853" max="3853" width="8.85546875" style="1"/>
    <col min="3854" max="3876" width="8.85546875" style="1" hidden="1" customWidth="1"/>
    <col min="3877" max="4085" width="8.85546875" style="1"/>
    <col min="4086" max="4086" width="12.5703125" style="1" customWidth="1"/>
    <col min="4087" max="4093" width="8.85546875" style="1"/>
    <col min="4094" max="4096" width="6.140625" style="1" customWidth="1"/>
    <col min="4097" max="4097" width="8.85546875" style="1"/>
    <col min="4098" max="4098" width="13.42578125" style="1" customWidth="1"/>
    <col min="4099" max="4105" width="8.85546875" style="1"/>
    <col min="4106" max="4108" width="6" style="1" customWidth="1"/>
    <col min="4109" max="4109" width="8.85546875" style="1"/>
    <col min="4110" max="4132" width="8.85546875" style="1" hidden="1" customWidth="1"/>
    <col min="4133" max="4341" width="8.85546875" style="1"/>
    <col min="4342" max="4342" width="12.5703125" style="1" customWidth="1"/>
    <col min="4343" max="4349" width="8.85546875" style="1"/>
    <col min="4350" max="4352" width="6.140625" style="1" customWidth="1"/>
    <col min="4353" max="4353" width="8.85546875" style="1"/>
    <col min="4354" max="4354" width="13.42578125" style="1" customWidth="1"/>
    <col min="4355" max="4361" width="8.85546875" style="1"/>
    <col min="4362" max="4364" width="6" style="1" customWidth="1"/>
    <col min="4365" max="4365" width="8.85546875" style="1"/>
    <col min="4366" max="4388" width="8.85546875" style="1" hidden="1" customWidth="1"/>
    <col min="4389" max="4597" width="8.85546875" style="1"/>
    <col min="4598" max="4598" width="12.5703125" style="1" customWidth="1"/>
    <col min="4599" max="4605" width="8.85546875" style="1"/>
    <col min="4606" max="4608" width="6.140625" style="1" customWidth="1"/>
    <col min="4609" max="4609" width="8.85546875" style="1"/>
    <col min="4610" max="4610" width="13.42578125" style="1" customWidth="1"/>
    <col min="4611" max="4617" width="8.85546875" style="1"/>
    <col min="4618" max="4620" width="6" style="1" customWidth="1"/>
    <col min="4621" max="4621" width="8.85546875" style="1"/>
    <col min="4622" max="4644" width="8.85546875" style="1" hidden="1" customWidth="1"/>
    <col min="4645" max="4853" width="8.85546875" style="1"/>
    <col min="4854" max="4854" width="12.5703125" style="1" customWidth="1"/>
    <col min="4855" max="4861" width="8.85546875" style="1"/>
    <col min="4862" max="4864" width="6.140625" style="1" customWidth="1"/>
    <col min="4865" max="4865" width="8.85546875" style="1"/>
    <col min="4866" max="4866" width="13.42578125" style="1" customWidth="1"/>
    <col min="4867" max="4873" width="8.85546875" style="1"/>
    <col min="4874" max="4876" width="6" style="1" customWidth="1"/>
    <col min="4877" max="4877" width="8.85546875" style="1"/>
    <col min="4878" max="4900" width="8.85546875" style="1" hidden="1" customWidth="1"/>
    <col min="4901" max="5109" width="8.85546875" style="1"/>
    <col min="5110" max="5110" width="12.5703125" style="1" customWidth="1"/>
    <col min="5111" max="5117" width="8.85546875" style="1"/>
    <col min="5118" max="5120" width="6.140625" style="1" customWidth="1"/>
    <col min="5121" max="5121" width="8.85546875" style="1"/>
    <col min="5122" max="5122" width="13.42578125" style="1" customWidth="1"/>
    <col min="5123" max="5129" width="8.85546875" style="1"/>
    <col min="5130" max="5132" width="6" style="1" customWidth="1"/>
    <col min="5133" max="5133" width="8.85546875" style="1"/>
    <col min="5134" max="5156" width="8.85546875" style="1" hidden="1" customWidth="1"/>
    <col min="5157" max="5365" width="8.85546875" style="1"/>
    <col min="5366" max="5366" width="12.5703125" style="1" customWidth="1"/>
    <col min="5367" max="5373" width="8.85546875" style="1"/>
    <col min="5374" max="5376" width="6.140625" style="1" customWidth="1"/>
    <col min="5377" max="5377" width="8.85546875" style="1"/>
    <col min="5378" max="5378" width="13.42578125" style="1" customWidth="1"/>
    <col min="5379" max="5385" width="8.85546875" style="1"/>
    <col min="5386" max="5388" width="6" style="1" customWidth="1"/>
    <col min="5389" max="5389" width="8.85546875" style="1"/>
    <col min="5390" max="5412" width="8.85546875" style="1" hidden="1" customWidth="1"/>
    <col min="5413" max="5621" width="8.85546875" style="1"/>
    <col min="5622" max="5622" width="12.5703125" style="1" customWidth="1"/>
    <col min="5623" max="5629" width="8.85546875" style="1"/>
    <col min="5630" max="5632" width="6.140625" style="1" customWidth="1"/>
    <col min="5633" max="5633" width="8.85546875" style="1"/>
    <col min="5634" max="5634" width="13.42578125" style="1" customWidth="1"/>
    <col min="5635" max="5641" width="8.85546875" style="1"/>
    <col min="5642" max="5644" width="6" style="1" customWidth="1"/>
    <col min="5645" max="5645" width="8.85546875" style="1"/>
    <col min="5646" max="5668" width="8.85546875" style="1" hidden="1" customWidth="1"/>
    <col min="5669" max="5877" width="8.85546875" style="1"/>
    <col min="5878" max="5878" width="12.5703125" style="1" customWidth="1"/>
    <col min="5879" max="5885" width="8.85546875" style="1"/>
    <col min="5886" max="5888" width="6.140625" style="1" customWidth="1"/>
    <col min="5889" max="5889" width="8.85546875" style="1"/>
    <col min="5890" max="5890" width="13.42578125" style="1" customWidth="1"/>
    <col min="5891" max="5897" width="8.85546875" style="1"/>
    <col min="5898" max="5900" width="6" style="1" customWidth="1"/>
    <col min="5901" max="5901" width="8.85546875" style="1"/>
    <col min="5902" max="5924" width="8.85546875" style="1" hidden="1" customWidth="1"/>
    <col min="5925" max="6133" width="8.85546875" style="1"/>
    <col min="6134" max="6134" width="12.5703125" style="1" customWidth="1"/>
    <col min="6135" max="6141" width="8.85546875" style="1"/>
    <col min="6142" max="6144" width="6.140625" style="1" customWidth="1"/>
    <col min="6145" max="6145" width="8.85546875" style="1"/>
    <col min="6146" max="6146" width="13.42578125" style="1" customWidth="1"/>
    <col min="6147" max="6153" width="8.85546875" style="1"/>
    <col min="6154" max="6156" width="6" style="1" customWidth="1"/>
    <col min="6157" max="6157" width="8.85546875" style="1"/>
    <col min="6158" max="6180" width="8.85546875" style="1" hidden="1" customWidth="1"/>
    <col min="6181" max="6389" width="8.85546875" style="1"/>
    <col min="6390" max="6390" width="12.5703125" style="1" customWidth="1"/>
    <col min="6391" max="6397" width="8.85546875" style="1"/>
    <col min="6398" max="6400" width="6.140625" style="1" customWidth="1"/>
    <col min="6401" max="6401" width="8.85546875" style="1"/>
    <col min="6402" max="6402" width="13.42578125" style="1" customWidth="1"/>
    <col min="6403" max="6409" width="8.85546875" style="1"/>
    <col min="6410" max="6412" width="6" style="1" customWidth="1"/>
    <col min="6413" max="6413" width="8.85546875" style="1"/>
    <col min="6414" max="6436" width="8.85546875" style="1" hidden="1" customWidth="1"/>
    <col min="6437" max="6645" width="8.85546875" style="1"/>
    <col min="6646" max="6646" width="12.5703125" style="1" customWidth="1"/>
    <col min="6647" max="6653" width="8.85546875" style="1"/>
    <col min="6654" max="6656" width="6.140625" style="1" customWidth="1"/>
    <col min="6657" max="6657" width="8.85546875" style="1"/>
    <col min="6658" max="6658" width="13.42578125" style="1" customWidth="1"/>
    <col min="6659" max="6665" width="8.85546875" style="1"/>
    <col min="6666" max="6668" width="6" style="1" customWidth="1"/>
    <col min="6669" max="6669" width="8.85546875" style="1"/>
    <col min="6670" max="6692" width="8.85546875" style="1" hidden="1" customWidth="1"/>
    <col min="6693" max="6901" width="8.85546875" style="1"/>
    <col min="6902" max="6902" width="12.5703125" style="1" customWidth="1"/>
    <col min="6903" max="6909" width="8.85546875" style="1"/>
    <col min="6910" max="6912" width="6.140625" style="1" customWidth="1"/>
    <col min="6913" max="6913" width="8.85546875" style="1"/>
    <col min="6914" max="6914" width="13.42578125" style="1" customWidth="1"/>
    <col min="6915" max="6921" width="8.85546875" style="1"/>
    <col min="6922" max="6924" width="6" style="1" customWidth="1"/>
    <col min="6925" max="6925" width="8.85546875" style="1"/>
    <col min="6926" max="6948" width="8.85546875" style="1" hidden="1" customWidth="1"/>
    <col min="6949" max="7157" width="8.85546875" style="1"/>
    <col min="7158" max="7158" width="12.5703125" style="1" customWidth="1"/>
    <col min="7159" max="7165" width="8.85546875" style="1"/>
    <col min="7166" max="7168" width="6.140625" style="1" customWidth="1"/>
    <col min="7169" max="7169" width="8.85546875" style="1"/>
    <col min="7170" max="7170" width="13.42578125" style="1" customWidth="1"/>
    <col min="7171" max="7177" width="8.85546875" style="1"/>
    <col min="7178" max="7180" width="6" style="1" customWidth="1"/>
    <col min="7181" max="7181" width="8.85546875" style="1"/>
    <col min="7182" max="7204" width="8.85546875" style="1" hidden="1" customWidth="1"/>
    <col min="7205" max="7413" width="8.85546875" style="1"/>
    <col min="7414" max="7414" width="12.5703125" style="1" customWidth="1"/>
    <col min="7415" max="7421" width="8.85546875" style="1"/>
    <col min="7422" max="7424" width="6.140625" style="1" customWidth="1"/>
    <col min="7425" max="7425" width="8.85546875" style="1"/>
    <col min="7426" max="7426" width="13.42578125" style="1" customWidth="1"/>
    <col min="7427" max="7433" width="8.85546875" style="1"/>
    <col min="7434" max="7436" width="6" style="1" customWidth="1"/>
    <col min="7437" max="7437" width="8.85546875" style="1"/>
    <col min="7438" max="7460" width="8.85546875" style="1" hidden="1" customWidth="1"/>
    <col min="7461" max="7669" width="8.85546875" style="1"/>
    <col min="7670" max="7670" width="12.5703125" style="1" customWidth="1"/>
    <col min="7671" max="7677" width="8.85546875" style="1"/>
    <col min="7678" max="7680" width="6.140625" style="1" customWidth="1"/>
    <col min="7681" max="7681" width="8.85546875" style="1"/>
    <col min="7682" max="7682" width="13.42578125" style="1" customWidth="1"/>
    <col min="7683" max="7689" width="8.85546875" style="1"/>
    <col min="7690" max="7692" width="6" style="1" customWidth="1"/>
    <col min="7693" max="7693" width="8.85546875" style="1"/>
    <col min="7694" max="7716" width="8.85546875" style="1" hidden="1" customWidth="1"/>
    <col min="7717" max="7925" width="8.85546875" style="1"/>
    <col min="7926" max="7926" width="12.5703125" style="1" customWidth="1"/>
    <col min="7927" max="7933" width="8.85546875" style="1"/>
    <col min="7934" max="7936" width="6.140625" style="1" customWidth="1"/>
    <col min="7937" max="7937" width="8.85546875" style="1"/>
    <col min="7938" max="7938" width="13.42578125" style="1" customWidth="1"/>
    <col min="7939" max="7945" width="8.85546875" style="1"/>
    <col min="7946" max="7948" width="6" style="1" customWidth="1"/>
    <col min="7949" max="7949" width="8.85546875" style="1"/>
    <col min="7950" max="7972" width="8.85546875" style="1" hidden="1" customWidth="1"/>
    <col min="7973" max="8181" width="8.85546875" style="1"/>
    <col min="8182" max="8182" width="12.5703125" style="1" customWidth="1"/>
    <col min="8183" max="8189" width="8.85546875" style="1"/>
    <col min="8190" max="8192" width="6.140625" style="1" customWidth="1"/>
    <col min="8193" max="8193" width="8.85546875" style="1"/>
    <col min="8194" max="8194" width="13.42578125" style="1" customWidth="1"/>
    <col min="8195" max="8201" width="8.85546875" style="1"/>
    <col min="8202" max="8204" width="6" style="1" customWidth="1"/>
    <col min="8205" max="8205" width="8.85546875" style="1"/>
    <col min="8206" max="8228" width="8.85546875" style="1" hidden="1" customWidth="1"/>
    <col min="8229" max="8437" width="8.85546875" style="1"/>
    <col min="8438" max="8438" width="12.5703125" style="1" customWidth="1"/>
    <col min="8439" max="8445" width="8.85546875" style="1"/>
    <col min="8446" max="8448" width="6.140625" style="1" customWidth="1"/>
    <col min="8449" max="8449" width="8.85546875" style="1"/>
    <col min="8450" max="8450" width="13.42578125" style="1" customWidth="1"/>
    <col min="8451" max="8457" width="8.85546875" style="1"/>
    <col min="8458" max="8460" width="6" style="1" customWidth="1"/>
    <col min="8461" max="8461" width="8.85546875" style="1"/>
    <col min="8462" max="8484" width="8.85546875" style="1" hidden="1" customWidth="1"/>
    <col min="8485" max="8693" width="8.85546875" style="1"/>
    <col min="8694" max="8694" width="12.5703125" style="1" customWidth="1"/>
    <col min="8695" max="8701" width="8.85546875" style="1"/>
    <col min="8702" max="8704" width="6.140625" style="1" customWidth="1"/>
    <col min="8705" max="8705" width="8.85546875" style="1"/>
    <col min="8706" max="8706" width="13.42578125" style="1" customWidth="1"/>
    <col min="8707" max="8713" width="8.85546875" style="1"/>
    <col min="8714" max="8716" width="6" style="1" customWidth="1"/>
    <col min="8717" max="8717" width="8.85546875" style="1"/>
    <col min="8718" max="8740" width="8.85546875" style="1" hidden="1" customWidth="1"/>
    <col min="8741" max="8949" width="8.85546875" style="1"/>
    <col min="8950" max="8950" width="12.5703125" style="1" customWidth="1"/>
    <col min="8951" max="8957" width="8.85546875" style="1"/>
    <col min="8958" max="8960" width="6.140625" style="1" customWidth="1"/>
    <col min="8961" max="8961" width="8.85546875" style="1"/>
    <col min="8962" max="8962" width="13.42578125" style="1" customWidth="1"/>
    <col min="8963" max="8969" width="8.85546875" style="1"/>
    <col min="8970" max="8972" width="6" style="1" customWidth="1"/>
    <col min="8973" max="8973" width="8.85546875" style="1"/>
    <col min="8974" max="8996" width="8.85546875" style="1" hidden="1" customWidth="1"/>
    <col min="8997" max="9205" width="8.85546875" style="1"/>
    <col min="9206" max="9206" width="12.5703125" style="1" customWidth="1"/>
    <col min="9207" max="9213" width="8.85546875" style="1"/>
    <col min="9214" max="9216" width="6.140625" style="1" customWidth="1"/>
    <col min="9217" max="9217" width="8.85546875" style="1"/>
    <col min="9218" max="9218" width="13.42578125" style="1" customWidth="1"/>
    <col min="9219" max="9225" width="8.85546875" style="1"/>
    <col min="9226" max="9228" width="6" style="1" customWidth="1"/>
    <col min="9229" max="9229" width="8.85546875" style="1"/>
    <col min="9230" max="9252" width="8.85546875" style="1" hidden="1" customWidth="1"/>
    <col min="9253" max="9461" width="8.85546875" style="1"/>
    <col min="9462" max="9462" width="12.5703125" style="1" customWidth="1"/>
    <col min="9463" max="9469" width="8.85546875" style="1"/>
    <col min="9470" max="9472" width="6.140625" style="1" customWidth="1"/>
    <col min="9473" max="9473" width="8.85546875" style="1"/>
    <col min="9474" max="9474" width="13.42578125" style="1" customWidth="1"/>
    <col min="9475" max="9481" width="8.85546875" style="1"/>
    <col min="9482" max="9484" width="6" style="1" customWidth="1"/>
    <col min="9485" max="9485" width="8.85546875" style="1"/>
    <col min="9486" max="9508" width="8.85546875" style="1" hidden="1" customWidth="1"/>
    <col min="9509" max="9717" width="8.85546875" style="1"/>
    <col min="9718" max="9718" width="12.5703125" style="1" customWidth="1"/>
    <col min="9719" max="9725" width="8.85546875" style="1"/>
    <col min="9726" max="9728" width="6.140625" style="1" customWidth="1"/>
    <col min="9729" max="9729" width="8.85546875" style="1"/>
    <col min="9730" max="9730" width="13.42578125" style="1" customWidth="1"/>
    <col min="9731" max="9737" width="8.85546875" style="1"/>
    <col min="9738" max="9740" width="6" style="1" customWidth="1"/>
    <col min="9741" max="9741" width="8.85546875" style="1"/>
    <col min="9742" max="9764" width="8.85546875" style="1" hidden="1" customWidth="1"/>
    <col min="9765" max="9973" width="8.85546875" style="1"/>
    <col min="9974" max="9974" width="12.5703125" style="1" customWidth="1"/>
    <col min="9975" max="9981" width="8.85546875" style="1"/>
    <col min="9982" max="9984" width="6.140625" style="1" customWidth="1"/>
    <col min="9985" max="9985" width="8.85546875" style="1"/>
    <col min="9986" max="9986" width="13.42578125" style="1" customWidth="1"/>
    <col min="9987" max="9993" width="8.85546875" style="1"/>
    <col min="9994" max="9996" width="6" style="1" customWidth="1"/>
    <col min="9997" max="9997" width="8.85546875" style="1"/>
    <col min="9998" max="10020" width="8.85546875" style="1" hidden="1" customWidth="1"/>
    <col min="10021" max="10229" width="8.85546875" style="1"/>
    <col min="10230" max="10230" width="12.5703125" style="1" customWidth="1"/>
    <col min="10231" max="10237" width="8.85546875" style="1"/>
    <col min="10238" max="10240" width="6.140625" style="1" customWidth="1"/>
    <col min="10241" max="10241" width="8.85546875" style="1"/>
    <col min="10242" max="10242" width="13.42578125" style="1" customWidth="1"/>
    <col min="10243" max="10249" width="8.85546875" style="1"/>
    <col min="10250" max="10252" width="6" style="1" customWidth="1"/>
    <col min="10253" max="10253" width="8.85546875" style="1"/>
    <col min="10254" max="10276" width="8.85546875" style="1" hidden="1" customWidth="1"/>
    <col min="10277" max="10485" width="8.85546875" style="1"/>
    <col min="10486" max="10486" width="12.5703125" style="1" customWidth="1"/>
    <col min="10487" max="10493" width="8.85546875" style="1"/>
    <col min="10494" max="10496" width="6.140625" style="1" customWidth="1"/>
    <col min="10497" max="10497" width="8.85546875" style="1"/>
    <col min="10498" max="10498" width="13.42578125" style="1" customWidth="1"/>
    <col min="10499" max="10505" width="8.85546875" style="1"/>
    <col min="10506" max="10508" width="6" style="1" customWidth="1"/>
    <col min="10509" max="10509" width="8.85546875" style="1"/>
    <col min="10510" max="10532" width="8.85546875" style="1" hidden="1" customWidth="1"/>
    <col min="10533" max="10741" width="8.85546875" style="1"/>
    <col min="10742" max="10742" width="12.5703125" style="1" customWidth="1"/>
    <col min="10743" max="10749" width="8.85546875" style="1"/>
    <col min="10750" max="10752" width="6.140625" style="1" customWidth="1"/>
    <col min="10753" max="10753" width="8.85546875" style="1"/>
    <col min="10754" max="10754" width="13.42578125" style="1" customWidth="1"/>
    <col min="10755" max="10761" width="8.85546875" style="1"/>
    <col min="10762" max="10764" width="6" style="1" customWidth="1"/>
    <col min="10765" max="10765" width="8.85546875" style="1"/>
    <col min="10766" max="10788" width="8.85546875" style="1" hidden="1" customWidth="1"/>
    <col min="10789" max="10997" width="8.85546875" style="1"/>
    <col min="10998" max="10998" width="12.5703125" style="1" customWidth="1"/>
    <col min="10999" max="11005" width="8.85546875" style="1"/>
    <col min="11006" max="11008" width="6.140625" style="1" customWidth="1"/>
    <col min="11009" max="11009" width="8.85546875" style="1"/>
    <col min="11010" max="11010" width="13.42578125" style="1" customWidth="1"/>
    <col min="11011" max="11017" width="8.85546875" style="1"/>
    <col min="11018" max="11020" width="6" style="1" customWidth="1"/>
    <col min="11021" max="11021" width="8.85546875" style="1"/>
    <col min="11022" max="11044" width="8.85546875" style="1" hidden="1" customWidth="1"/>
    <col min="11045" max="11253" width="8.85546875" style="1"/>
    <col min="11254" max="11254" width="12.5703125" style="1" customWidth="1"/>
    <col min="11255" max="11261" width="8.85546875" style="1"/>
    <col min="11262" max="11264" width="6.140625" style="1" customWidth="1"/>
    <col min="11265" max="11265" width="8.85546875" style="1"/>
    <col min="11266" max="11266" width="13.42578125" style="1" customWidth="1"/>
    <col min="11267" max="11273" width="8.85546875" style="1"/>
    <col min="11274" max="11276" width="6" style="1" customWidth="1"/>
    <col min="11277" max="11277" width="8.85546875" style="1"/>
    <col min="11278" max="11300" width="8.85546875" style="1" hidden="1" customWidth="1"/>
    <col min="11301" max="11509" width="8.85546875" style="1"/>
    <col min="11510" max="11510" width="12.5703125" style="1" customWidth="1"/>
    <col min="11511" max="11517" width="8.85546875" style="1"/>
    <col min="11518" max="11520" width="6.140625" style="1" customWidth="1"/>
    <col min="11521" max="11521" width="8.85546875" style="1"/>
    <col min="11522" max="11522" width="13.42578125" style="1" customWidth="1"/>
    <col min="11523" max="11529" width="8.85546875" style="1"/>
    <col min="11530" max="11532" width="6" style="1" customWidth="1"/>
    <col min="11533" max="11533" width="8.85546875" style="1"/>
    <col min="11534" max="11556" width="8.85546875" style="1" hidden="1" customWidth="1"/>
    <col min="11557" max="11765" width="8.85546875" style="1"/>
    <col min="11766" max="11766" width="12.5703125" style="1" customWidth="1"/>
    <col min="11767" max="11773" width="8.85546875" style="1"/>
    <col min="11774" max="11776" width="6.140625" style="1" customWidth="1"/>
    <col min="11777" max="11777" width="8.85546875" style="1"/>
    <col min="11778" max="11778" width="13.42578125" style="1" customWidth="1"/>
    <col min="11779" max="11785" width="8.85546875" style="1"/>
    <col min="11786" max="11788" width="6" style="1" customWidth="1"/>
    <col min="11789" max="11789" width="8.85546875" style="1"/>
    <col min="11790" max="11812" width="8.85546875" style="1" hidden="1" customWidth="1"/>
    <col min="11813" max="12021" width="8.85546875" style="1"/>
    <col min="12022" max="12022" width="12.5703125" style="1" customWidth="1"/>
    <col min="12023" max="12029" width="8.85546875" style="1"/>
    <col min="12030" max="12032" width="6.140625" style="1" customWidth="1"/>
    <col min="12033" max="12033" width="8.85546875" style="1"/>
    <col min="12034" max="12034" width="13.42578125" style="1" customWidth="1"/>
    <col min="12035" max="12041" width="8.85546875" style="1"/>
    <col min="12042" max="12044" width="6" style="1" customWidth="1"/>
    <col min="12045" max="12045" width="8.85546875" style="1"/>
    <col min="12046" max="12068" width="8.85546875" style="1" hidden="1" customWidth="1"/>
    <col min="12069" max="12277" width="8.85546875" style="1"/>
    <col min="12278" max="12278" width="12.5703125" style="1" customWidth="1"/>
    <col min="12279" max="12285" width="8.85546875" style="1"/>
    <col min="12286" max="12288" width="6.140625" style="1" customWidth="1"/>
    <col min="12289" max="12289" width="8.85546875" style="1"/>
    <col min="12290" max="12290" width="13.42578125" style="1" customWidth="1"/>
    <col min="12291" max="12297" width="8.85546875" style="1"/>
    <col min="12298" max="12300" width="6" style="1" customWidth="1"/>
    <col min="12301" max="12301" width="8.85546875" style="1"/>
    <col min="12302" max="12324" width="8.85546875" style="1" hidden="1" customWidth="1"/>
    <col min="12325" max="12533" width="8.85546875" style="1"/>
    <col min="12534" max="12534" width="12.5703125" style="1" customWidth="1"/>
    <col min="12535" max="12541" width="8.85546875" style="1"/>
    <col min="12542" max="12544" width="6.140625" style="1" customWidth="1"/>
    <col min="12545" max="12545" width="8.85546875" style="1"/>
    <col min="12546" max="12546" width="13.42578125" style="1" customWidth="1"/>
    <col min="12547" max="12553" width="8.85546875" style="1"/>
    <col min="12554" max="12556" width="6" style="1" customWidth="1"/>
    <col min="12557" max="12557" width="8.85546875" style="1"/>
    <col min="12558" max="12580" width="8.85546875" style="1" hidden="1" customWidth="1"/>
    <col min="12581" max="12789" width="8.85546875" style="1"/>
    <col min="12790" max="12790" width="12.5703125" style="1" customWidth="1"/>
    <col min="12791" max="12797" width="8.85546875" style="1"/>
    <col min="12798" max="12800" width="6.140625" style="1" customWidth="1"/>
    <col min="12801" max="12801" width="8.85546875" style="1"/>
    <col min="12802" max="12802" width="13.42578125" style="1" customWidth="1"/>
    <col min="12803" max="12809" width="8.85546875" style="1"/>
    <col min="12810" max="12812" width="6" style="1" customWidth="1"/>
    <col min="12813" max="12813" width="8.85546875" style="1"/>
    <col min="12814" max="12836" width="8.85546875" style="1" hidden="1" customWidth="1"/>
    <col min="12837" max="13045" width="8.85546875" style="1"/>
    <col min="13046" max="13046" width="12.5703125" style="1" customWidth="1"/>
    <col min="13047" max="13053" width="8.85546875" style="1"/>
    <col min="13054" max="13056" width="6.140625" style="1" customWidth="1"/>
    <col min="13057" max="13057" width="8.85546875" style="1"/>
    <col min="13058" max="13058" width="13.42578125" style="1" customWidth="1"/>
    <col min="13059" max="13065" width="8.85546875" style="1"/>
    <col min="13066" max="13068" width="6" style="1" customWidth="1"/>
    <col min="13069" max="13069" width="8.85546875" style="1"/>
    <col min="13070" max="13092" width="8.85546875" style="1" hidden="1" customWidth="1"/>
    <col min="13093" max="13301" width="8.85546875" style="1"/>
    <col min="13302" max="13302" width="12.5703125" style="1" customWidth="1"/>
    <col min="13303" max="13309" width="8.85546875" style="1"/>
    <col min="13310" max="13312" width="6.140625" style="1" customWidth="1"/>
    <col min="13313" max="13313" width="8.85546875" style="1"/>
    <col min="13314" max="13314" width="13.42578125" style="1" customWidth="1"/>
    <col min="13315" max="13321" width="8.85546875" style="1"/>
    <col min="13322" max="13324" width="6" style="1" customWidth="1"/>
    <col min="13325" max="13325" width="8.85546875" style="1"/>
    <col min="13326" max="13348" width="8.85546875" style="1" hidden="1" customWidth="1"/>
    <col min="13349" max="13557" width="8.85546875" style="1"/>
    <col min="13558" max="13558" width="12.5703125" style="1" customWidth="1"/>
    <col min="13559" max="13565" width="8.85546875" style="1"/>
    <col min="13566" max="13568" width="6.140625" style="1" customWidth="1"/>
    <col min="13569" max="13569" width="8.85546875" style="1"/>
    <col min="13570" max="13570" width="13.42578125" style="1" customWidth="1"/>
    <col min="13571" max="13577" width="8.85546875" style="1"/>
    <col min="13578" max="13580" width="6" style="1" customWidth="1"/>
    <col min="13581" max="13581" width="8.85546875" style="1"/>
    <col min="13582" max="13604" width="8.85546875" style="1" hidden="1" customWidth="1"/>
    <col min="13605" max="13813" width="8.85546875" style="1"/>
    <col min="13814" max="13814" width="12.5703125" style="1" customWidth="1"/>
    <col min="13815" max="13821" width="8.85546875" style="1"/>
    <col min="13822" max="13824" width="6.140625" style="1" customWidth="1"/>
    <col min="13825" max="13825" width="8.85546875" style="1"/>
    <col min="13826" max="13826" width="13.42578125" style="1" customWidth="1"/>
    <col min="13827" max="13833" width="8.85546875" style="1"/>
    <col min="13834" max="13836" width="6" style="1" customWidth="1"/>
    <col min="13837" max="13837" width="8.85546875" style="1"/>
    <col min="13838" max="13860" width="8.85546875" style="1" hidden="1" customWidth="1"/>
    <col min="13861" max="14069" width="8.85546875" style="1"/>
    <col min="14070" max="14070" width="12.5703125" style="1" customWidth="1"/>
    <col min="14071" max="14077" width="8.85546875" style="1"/>
    <col min="14078" max="14080" width="6.140625" style="1" customWidth="1"/>
    <col min="14081" max="14081" width="8.85546875" style="1"/>
    <col min="14082" max="14082" width="13.42578125" style="1" customWidth="1"/>
    <col min="14083" max="14089" width="8.85546875" style="1"/>
    <col min="14090" max="14092" width="6" style="1" customWidth="1"/>
    <col min="14093" max="14093" width="8.85546875" style="1"/>
    <col min="14094" max="14116" width="8.85546875" style="1" hidden="1" customWidth="1"/>
    <col min="14117" max="14325" width="8.85546875" style="1"/>
    <col min="14326" max="14326" width="12.5703125" style="1" customWidth="1"/>
    <col min="14327" max="14333" width="8.85546875" style="1"/>
    <col min="14334" max="14336" width="6.140625" style="1" customWidth="1"/>
    <col min="14337" max="14337" width="8.85546875" style="1"/>
    <col min="14338" max="14338" width="13.42578125" style="1" customWidth="1"/>
    <col min="14339" max="14345" width="8.85546875" style="1"/>
    <col min="14346" max="14348" width="6" style="1" customWidth="1"/>
    <col min="14349" max="14349" width="8.85546875" style="1"/>
    <col min="14350" max="14372" width="8.85546875" style="1" hidden="1" customWidth="1"/>
    <col min="14373" max="14581" width="8.85546875" style="1"/>
    <col min="14582" max="14582" width="12.5703125" style="1" customWidth="1"/>
    <col min="14583" max="14589" width="8.85546875" style="1"/>
    <col min="14590" max="14592" width="6.140625" style="1" customWidth="1"/>
    <col min="14593" max="14593" width="8.85546875" style="1"/>
    <col min="14594" max="14594" width="13.42578125" style="1" customWidth="1"/>
    <col min="14595" max="14601" width="8.85546875" style="1"/>
    <col min="14602" max="14604" width="6" style="1" customWidth="1"/>
    <col min="14605" max="14605" width="8.85546875" style="1"/>
    <col min="14606" max="14628" width="8.85546875" style="1" hidden="1" customWidth="1"/>
    <col min="14629" max="14837" width="8.85546875" style="1"/>
    <col min="14838" max="14838" width="12.5703125" style="1" customWidth="1"/>
    <col min="14839" max="14845" width="8.85546875" style="1"/>
    <col min="14846" max="14848" width="6.140625" style="1" customWidth="1"/>
    <col min="14849" max="14849" width="8.85546875" style="1"/>
    <col min="14850" max="14850" width="13.42578125" style="1" customWidth="1"/>
    <col min="14851" max="14857" width="8.85546875" style="1"/>
    <col min="14858" max="14860" width="6" style="1" customWidth="1"/>
    <col min="14861" max="14861" width="8.85546875" style="1"/>
    <col min="14862" max="14884" width="8.85546875" style="1" hidden="1" customWidth="1"/>
    <col min="14885" max="15093" width="8.85546875" style="1"/>
    <col min="15094" max="15094" width="12.5703125" style="1" customWidth="1"/>
    <col min="15095" max="15101" width="8.85546875" style="1"/>
    <col min="15102" max="15104" width="6.140625" style="1" customWidth="1"/>
    <col min="15105" max="15105" width="8.85546875" style="1"/>
    <col min="15106" max="15106" width="13.42578125" style="1" customWidth="1"/>
    <col min="15107" max="15113" width="8.85546875" style="1"/>
    <col min="15114" max="15116" width="6" style="1" customWidth="1"/>
    <col min="15117" max="15117" width="8.85546875" style="1"/>
    <col min="15118" max="15140" width="8.85546875" style="1" hidden="1" customWidth="1"/>
    <col min="15141" max="15349" width="8.85546875" style="1"/>
    <col min="15350" max="15350" width="12.5703125" style="1" customWidth="1"/>
    <col min="15351" max="15357" width="8.85546875" style="1"/>
    <col min="15358" max="15360" width="6.140625" style="1" customWidth="1"/>
    <col min="15361" max="15361" width="8.85546875" style="1"/>
    <col min="15362" max="15362" width="13.42578125" style="1" customWidth="1"/>
    <col min="15363" max="15369" width="8.85546875" style="1"/>
    <col min="15370" max="15372" width="6" style="1" customWidth="1"/>
    <col min="15373" max="15373" width="8.85546875" style="1"/>
    <col min="15374" max="15396" width="8.85546875" style="1" hidden="1" customWidth="1"/>
    <col min="15397" max="15605" width="8.85546875" style="1"/>
    <col min="15606" max="15606" width="12.5703125" style="1" customWidth="1"/>
    <col min="15607" max="15613" width="8.85546875" style="1"/>
    <col min="15614" max="15616" width="6.140625" style="1" customWidth="1"/>
    <col min="15617" max="15617" width="8.85546875" style="1"/>
    <col min="15618" max="15618" width="13.42578125" style="1" customWidth="1"/>
    <col min="15619" max="15625" width="8.85546875" style="1"/>
    <col min="15626" max="15628" width="6" style="1" customWidth="1"/>
    <col min="15629" max="15629" width="8.85546875" style="1"/>
    <col min="15630" max="15652" width="8.85546875" style="1" hidden="1" customWidth="1"/>
    <col min="15653" max="15861" width="8.85546875" style="1"/>
    <col min="15862" max="15862" width="12.5703125" style="1" customWidth="1"/>
    <col min="15863" max="15869" width="8.85546875" style="1"/>
    <col min="15870" max="15872" width="6.140625" style="1" customWidth="1"/>
    <col min="15873" max="15873" width="8.85546875" style="1"/>
    <col min="15874" max="15874" width="13.42578125" style="1" customWidth="1"/>
    <col min="15875" max="15881" width="8.85546875" style="1"/>
    <col min="15882" max="15884" width="6" style="1" customWidth="1"/>
    <col min="15885" max="15885" width="8.85546875" style="1"/>
    <col min="15886" max="15908" width="8.85546875" style="1" hidden="1" customWidth="1"/>
    <col min="15909" max="16117" width="8.85546875" style="1"/>
    <col min="16118" max="16118" width="12.5703125" style="1" customWidth="1"/>
    <col min="16119" max="16125" width="8.85546875" style="1"/>
    <col min="16126" max="16128" width="6.140625" style="1" customWidth="1"/>
    <col min="16129" max="16129" width="8.85546875" style="1"/>
    <col min="16130" max="16130" width="13.42578125" style="1" customWidth="1"/>
    <col min="16131" max="16137" width="8.85546875" style="1"/>
    <col min="16138" max="16140" width="6" style="1" customWidth="1"/>
    <col min="16141" max="16141" width="8.85546875" style="1"/>
    <col min="16142" max="16164" width="8.85546875" style="1" hidden="1" customWidth="1"/>
    <col min="16165" max="16384" width="8.85546875" style="1"/>
  </cols>
  <sheetData>
    <row r="1" spans="1:24" ht="18">
      <c r="A1" s="3" t="s">
        <v>44</v>
      </c>
      <c r="B1" s="3"/>
      <c r="C1" s="4"/>
      <c r="D1" s="4"/>
      <c r="E1" s="4"/>
      <c r="F1" s="4"/>
      <c r="G1" s="4"/>
      <c r="I1" s="4"/>
    </row>
    <row r="2" spans="1:24" ht="18">
      <c r="A2" s="5"/>
      <c r="B2" s="5"/>
      <c r="C2" s="4"/>
      <c r="D2" s="4"/>
      <c r="E2" s="4"/>
      <c r="F2" s="4"/>
      <c r="G2" s="4"/>
      <c r="I2" s="4"/>
    </row>
    <row r="3" spans="1:24" ht="18">
      <c r="A3" s="5"/>
      <c r="B3" s="6"/>
      <c r="C3" s="4"/>
      <c r="D3" s="4"/>
      <c r="E3" s="4"/>
      <c r="F3" s="4"/>
      <c r="G3" s="4"/>
      <c r="I3" s="4"/>
    </row>
    <row r="6" spans="1:24" ht="18">
      <c r="A6" s="5">
        <f>PO!C11</f>
        <v>0</v>
      </c>
      <c r="B6" s="6"/>
      <c r="C6" s="4"/>
      <c r="D6" s="4"/>
      <c r="E6" s="4"/>
      <c r="F6" s="4"/>
      <c r="G6" s="4"/>
      <c r="I6" s="4"/>
      <c r="N6" s="5">
        <f>A6</f>
        <v>0</v>
      </c>
      <c r="O6" s="6"/>
      <c r="P6" s="4"/>
      <c r="Q6" s="4"/>
      <c r="R6" s="4"/>
      <c r="S6" s="4"/>
      <c r="T6" s="4"/>
      <c r="V6" s="4"/>
    </row>
    <row r="7" spans="1:24">
      <c r="A7" s="7">
        <f>PO!D11</f>
        <v>0</v>
      </c>
      <c r="B7" s="8">
        <v>26</v>
      </c>
      <c r="C7" s="8">
        <f t="shared" ref="C7:G7" si="0">B7+1</f>
        <v>27</v>
      </c>
      <c r="D7" s="8">
        <f t="shared" si="0"/>
        <v>28</v>
      </c>
      <c r="E7" s="8">
        <f t="shared" si="0"/>
        <v>29</v>
      </c>
      <c r="F7" s="8">
        <f t="shared" si="0"/>
        <v>30</v>
      </c>
      <c r="G7" s="8">
        <f t="shared" si="0"/>
        <v>31</v>
      </c>
      <c r="H7" s="9"/>
      <c r="I7" s="4"/>
      <c r="J7" s="4" t="s">
        <v>45</v>
      </c>
      <c r="K7" s="4" t="s">
        <v>46</v>
      </c>
      <c r="N7" s="7">
        <f>A7</f>
        <v>0</v>
      </c>
      <c r="O7" s="8">
        <f>G7+1</f>
        <v>32</v>
      </c>
      <c r="P7" s="8">
        <f t="shared" ref="P7:T7" si="1">O7+1</f>
        <v>33</v>
      </c>
      <c r="Q7" s="8">
        <f t="shared" si="1"/>
        <v>34</v>
      </c>
      <c r="R7" s="8">
        <f t="shared" si="1"/>
        <v>35</v>
      </c>
      <c r="S7" s="8">
        <f t="shared" si="1"/>
        <v>36</v>
      </c>
      <c r="T7" s="8">
        <f t="shared" si="1"/>
        <v>37</v>
      </c>
      <c r="U7" s="9"/>
      <c r="V7" s="4"/>
      <c r="W7" s="4" t="s">
        <v>45</v>
      </c>
      <c r="X7" s="4" t="s">
        <v>46</v>
      </c>
    </row>
    <row r="8" spans="1:24">
      <c r="A8" s="10" t="s">
        <v>47</v>
      </c>
      <c r="B8" s="4">
        <v>1</v>
      </c>
      <c r="C8" s="4">
        <v>1</v>
      </c>
      <c r="D8" s="4">
        <v>2</v>
      </c>
      <c r="E8" s="4">
        <v>1</v>
      </c>
      <c r="F8" s="4">
        <v>1</v>
      </c>
      <c r="G8" s="4">
        <v>2</v>
      </c>
      <c r="H8" s="11">
        <f>SUM(B8:G8)</f>
        <v>8</v>
      </c>
      <c r="I8" s="4" t="s">
        <v>48</v>
      </c>
      <c r="J8" s="4">
        <v>2</v>
      </c>
      <c r="K8" s="20">
        <f>J8*H8</f>
        <v>16</v>
      </c>
      <c r="L8" s="2" t="s">
        <v>49</v>
      </c>
      <c r="N8" s="10" t="s">
        <v>47</v>
      </c>
      <c r="O8" s="4">
        <v>2</v>
      </c>
      <c r="P8" s="4">
        <v>2</v>
      </c>
      <c r="Q8" s="4">
        <v>2</v>
      </c>
      <c r="R8" s="4">
        <v>1</v>
      </c>
      <c r="S8" s="4">
        <v>1</v>
      </c>
      <c r="T8" s="4"/>
      <c r="U8" s="11">
        <f t="shared" ref="U8:U12" si="2">SUM(O8:T8)</f>
        <v>8</v>
      </c>
      <c r="V8" s="4" t="s">
        <v>48</v>
      </c>
      <c r="W8" s="4">
        <v>1</v>
      </c>
      <c r="X8" s="20">
        <f>W8*U8</f>
        <v>8</v>
      </c>
    </row>
    <row r="9" spans="1:24">
      <c r="A9" s="10" t="s">
        <v>50</v>
      </c>
      <c r="B9" s="4">
        <f>B8*J8</f>
        <v>2</v>
      </c>
      <c r="C9" s="4">
        <f>C8*J8</f>
        <v>2</v>
      </c>
      <c r="D9" s="4">
        <f>D8*J8</f>
        <v>4</v>
      </c>
      <c r="E9" s="4">
        <f>E8*J8</f>
        <v>2</v>
      </c>
      <c r="F9" s="4">
        <f>F8*J8</f>
        <v>2</v>
      </c>
      <c r="G9" s="4">
        <f>G8*J8</f>
        <v>4</v>
      </c>
      <c r="H9" s="11">
        <f>SUM(B9:G9)</f>
        <v>16</v>
      </c>
      <c r="I9" s="4"/>
      <c r="K9" s="20"/>
      <c r="N9" s="10" t="s">
        <v>50</v>
      </c>
      <c r="O9" s="4">
        <f>O8*W8</f>
        <v>2</v>
      </c>
      <c r="P9" s="4">
        <f>P8*W8</f>
        <v>2</v>
      </c>
      <c r="Q9" s="4">
        <f>Q8*W8</f>
        <v>2</v>
      </c>
      <c r="R9" s="4">
        <f>R8*W8</f>
        <v>1</v>
      </c>
      <c r="S9" s="4">
        <f>S8*W8</f>
        <v>1</v>
      </c>
      <c r="T9" s="4"/>
      <c r="U9" s="11">
        <f t="shared" si="2"/>
        <v>8</v>
      </c>
      <c r="V9" s="4"/>
      <c r="X9" s="20"/>
    </row>
    <row r="10" spans="1:24">
      <c r="A10" s="12"/>
      <c r="B10" s="13"/>
      <c r="C10" s="13"/>
      <c r="D10" s="13"/>
      <c r="E10" s="13"/>
      <c r="F10" s="13"/>
      <c r="G10" s="13"/>
      <c r="H10" s="14"/>
      <c r="I10" s="4"/>
      <c r="K10" s="20"/>
      <c r="N10" s="12"/>
      <c r="O10" s="13"/>
      <c r="P10" s="13"/>
      <c r="Q10" s="13"/>
      <c r="R10" s="13"/>
      <c r="S10" s="13"/>
      <c r="T10" s="13"/>
      <c r="U10" s="14"/>
      <c r="V10" s="4"/>
      <c r="X10" s="20"/>
    </row>
    <row r="11" spans="1:24">
      <c r="A11" s="10" t="s">
        <v>51</v>
      </c>
      <c r="B11" s="4">
        <v>1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11">
        <f t="shared" ref="H11:H12" si="3">SUM(B11:G11)</f>
        <v>6</v>
      </c>
      <c r="I11" s="4" t="s">
        <v>48</v>
      </c>
      <c r="J11" s="4">
        <v>1</v>
      </c>
      <c r="K11" s="20">
        <f>J11*H11</f>
        <v>6</v>
      </c>
      <c r="L11" s="2" t="s">
        <v>52</v>
      </c>
      <c r="N11" s="10" t="s">
        <v>51</v>
      </c>
      <c r="O11" s="4">
        <v>2</v>
      </c>
      <c r="P11" s="4">
        <v>2</v>
      </c>
      <c r="Q11" s="4">
        <v>1</v>
      </c>
      <c r="R11" s="4">
        <v>1</v>
      </c>
      <c r="S11" s="4"/>
      <c r="T11" s="4"/>
      <c r="U11" s="11">
        <f t="shared" si="2"/>
        <v>6</v>
      </c>
      <c r="V11" s="4" t="s">
        <v>48</v>
      </c>
      <c r="W11" s="4">
        <v>1</v>
      </c>
      <c r="X11" s="20">
        <f>W11*U11</f>
        <v>6</v>
      </c>
    </row>
    <row r="12" spans="1:24">
      <c r="A12" s="10" t="s">
        <v>53</v>
      </c>
      <c r="B12" s="4">
        <f t="shared" ref="B12:G12" si="4">B11*$J$11</f>
        <v>1</v>
      </c>
      <c r="C12" s="4">
        <f t="shared" si="4"/>
        <v>1</v>
      </c>
      <c r="D12" s="4">
        <f t="shared" si="4"/>
        <v>1</v>
      </c>
      <c r="E12" s="4">
        <f t="shared" si="4"/>
        <v>1</v>
      </c>
      <c r="F12" s="4">
        <f t="shared" si="4"/>
        <v>1</v>
      </c>
      <c r="G12" s="4">
        <f t="shared" si="4"/>
        <v>1</v>
      </c>
      <c r="H12" s="11">
        <f t="shared" si="3"/>
        <v>6</v>
      </c>
      <c r="I12" s="4"/>
      <c r="K12" s="20"/>
      <c r="N12" s="10" t="s">
        <v>53</v>
      </c>
      <c r="O12" s="4">
        <f>O11*W11</f>
        <v>2</v>
      </c>
      <c r="P12" s="4">
        <f>P11*W11</f>
        <v>2</v>
      </c>
      <c r="Q12" s="4">
        <f>Q11*W11</f>
        <v>1</v>
      </c>
      <c r="R12" s="4">
        <f>R11*W11</f>
        <v>1</v>
      </c>
      <c r="S12" s="4">
        <f>S11*W11</f>
        <v>0</v>
      </c>
      <c r="T12" s="4"/>
      <c r="U12" s="11">
        <f t="shared" si="2"/>
        <v>6</v>
      </c>
      <c r="V12" s="4"/>
      <c r="X12" s="20"/>
    </row>
    <row r="13" spans="1:24">
      <c r="A13" s="12"/>
      <c r="B13" s="13"/>
      <c r="C13" s="13"/>
      <c r="D13" s="13"/>
      <c r="E13" s="13"/>
      <c r="F13" s="13"/>
      <c r="G13" s="13"/>
      <c r="H13" s="9"/>
      <c r="I13" s="4"/>
      <c r="K13" s="20"/>
      <c r="N13" s="12"/>
      <c r="O13" s="13"/>
      <c r="P13" s="13"/>
      <c r="Q13" s="13"/>
      <c r="R13" s="13"/>
      <c r="S13" s="13"/>
      <c r="T13" s="13"/>
      <c r="U13" s="9"/>
      <c r="V13" s="4"/>
      <c r="X13" s="20"/>
    </row>
    <row r="14" spans="1:24">
      <c r="A14" s="15" t="s">
        <v>54</v>
      </c>
      <c r="B14" s="4">
        <v>2</v>
      </c>
      <c r="C14" s="4">
        <v>2</v>
      </c>
      <c r="D14" s="4">
        <v>2</v>
      </c>
      <c r="E14" s="4">
        <v>2</v>
      </c>
      <c r="F14" s="4">
        <v>2</v>
      </c>
      <c r="G14" s="4">
        <v>2</v>
      </c>
      <c r="H14" s="11">
        <f t="shared" ref="H14:H18" si="5">SUM(B14:G14)</f>
        <v>12</v>
      </c>
      <c r="I14" s="4" t="s">
        <v>48</v>
      </c>
      <c r="J14" s="4">
        <v>3</v>
      </c>
      <c r="K14" s="20">
        <f>J14*H14</f>
        <v>36</v>
      </c>
      <c r="L14" s="2" t="s">
        <v>55</v>
      </c>
      <c r="N14" s="15" t="s">
        <v>54</v>
      </c>
      <c r="O14" s="4">
        <v>1</v>
      </c>
      <c r="P14" s="4">
        <v>1</v>
      </c>
      <c r="Q14" s="4">
        <v>2</v>
      </c>
      <c r="R14" s="4">
        <v>1</v>
      </c>
      <c r="S14" s="4">
        <v>1</v>
      </c>
      <c r="T14" s="4"/>
      <c r="U14" s="11">
        <f t="shared" ref="U14:U18" si="6">SUM(O14:T14)</f>
        <v>6</v>
      </c>
      <c r="V14" s="4" t="s">
        <v>48</v>
      </c>
      <c r="W14" s="4">
        <v>1</v>
      </c>
      <c r="X14" s="20">
        <f>W14*U14</f>
        <v>6</v>
      </c>
    </row>
    <row r="15" spans="1:24">
      <c r="A15" s="10" t="s">
        <v>56</v>
      </c>
      <c r="B15" s="4">
        <f>B14*J14</f>
        <v>6</v>
      </c>
      <c r="C15" s="4">
        <f>C14*J14</f>
        <v>6</v>
      </c>
      <c r="D15" s="4">
        <f>D14*J14</f>
        <v>6</v>
      </c>
      <c r="E15" s="4">
        <f>E14*J14</f>
        <v>6</v>
      </c>
      <c r="F15" s="4">
        <f>F14*J14</f>
        <v>6</v>
      </c>
      <c r="G15" s="4">
        <f>G14*J14</f>
        <v>6</v>
      </c>
      <c r="H15" s="11">
        <f t="shared" si="5"/>
        <v>36</v>
      </c>
      <c r="I15" s="4"/>
      <c r="K15" s="20"/>
      <c r="N15" s="10" t="s">
        <v>56</v>
      </c>
      <c r="O15" s="4">
        <f>O14*W14</f>
        <v>1</v>
      </c>
      <c r="P15" s="4">
        <f>P14*W14</f>
        <v>1</v>
      </c>
      <c r="Q15" s="4">
        <f>Q14*W14</f>
        <v>2</v>
      </c>
      <c r="R15" s="4">
        <f>R14*W14</f>
        <v>1</v>
      </c>
      <c r="S15" s="4">
        <f>S14*W14</f>
        <v>1</v>
      </c>
      <c r="T15" s="4"/>
      <c r="U15" s="11">
        <f t="shared" si="6"/>
        <v>6</v>
      </c>
      <c r="V15" s="4"/>
      <c r="X15" s="20"/>
    </row>
    <row r="16" spans="1:24">
      <c r="A16" s="12"/>
      <c r="B16" s="13"/>
      <c r="C16" s="13"/>
      <c r="D16" s="13"/>
      <c r="E16" s="13"/>
      <c r="F16" s="13"/>
      <c r="G16" s="13"/>
      <c r="H16" s="14"/>
      <c r="I16" s="4"/>
      <c r="K16" s="20"/>
      <c r="N16" s="12"/>
      <c r="O16" s="13"/>
      <c r="P16" s="13"/>
      <c r="Q16" s="13"/>
      <c r="R16" s="13"/>
      <c r="S16" s="13"/>
      <c r="T16" s="13"/>
      <c r="U16" s="14"/>
      <c r="V16" s="4"/>
      <c r="X16" s="20"/>
    </row>
    <row r="17" spans="1:24">
      <c r="A17" s="10" t="s">
        <v>57</v>
      </c>
      <c r="B17" s="4"/>
      <c r="C17" s="4"/>
      <c r="D17" s="4"/>
      <c r="E17" s="4"/>
      <c r="F17" s="4"/>
      <c r="G17" s="4"/>
      <c r="H17" s="11">
        <f t="shared" si="5"/>
        <v>0</v>
      </c>
      <c r="I17" s="4" t="s">
        <v>48</v>
      </c>
      <c r="J17" s="4"/>
      <c r="K17" s="20">
        <f>J17*H17</f>
        <v>0</v>
      </c>
      <c r="N17" s="10" t="s">
        <v>57</v>
      </c>
      <c r="O17" s="4">
        <v>3</v>
      </c>
      <c r="P17" s="4">
        <v>3</v>
      </c>
      <c r="Q17" s="4">
        <v>3</v>
      </c>
      <c r="R17" s="4">
        <v>2</v>
      </c>
      <c r="S17" s="4">
        <v>1</v>
      </c>
      <c r="T17" s="4"/>
      <c r="U17" s="11">
        <f t="shared" si="6"/>
        <v>12</v>
      </c>
      <c r="V17" s="4" t="s">
        <v>48</v>
      </c>
      <c r="W17" s="4">
        <v>3</v>
      </c>
      <c r="X17" s="20">
        <f>W17*U17</f>
        <v>36</v>
      </c>
    </row>
    <row r="18" spans="1:24">
      <c r="A18" s="10" t="s">
        <v>58</v>
      </c>
      <c r="B18" s="4">
        <f>B17*J17</f>
        <v>0</v>
      </c>
      <c r="C18" s="4">
        <f>C17*J17</f>
        <v>0</v>
      </c>
      <c r="D18" s="4">
        <f>D17*J17</f>
        <v>0</v>
      </c>
      <c r="E18" s="4">
        <f>E17*J17</f>
        <v>0</v>
      </c>
      <c r="F18" s="4">
        <f>F17*J17</f>
        <v>0</v>
      </c>
      <c r="G18" s="4">
        <f>G17*J17</f>
        <v>0</v>
      </c>
      <c r="H18" s="11">
        <f t="shared" si="5"/>
        <v>0</v>
      </c>
      <c r="I18" s="4"/>
      <c r="K18" s="20"/>
      <c r="N18" s="10" t="s">
        <v>58</v>
      </c>
      <c r="O18" s="4">
        <f>O17*W17</f>
        <v>9</v>
      </c>
      <c r="P18" s="4">
        <f>P17*W17</f>
        <v>9</v>
      </c>
      <c r="Q18" s="4">
        <f>Q17*W17</f>
        <v>9</v>
      </c>
      <c r="R18" s="4">
        <f>R17*W17</f>
        <v>6</v>
      </c>
      <c r="S18" s="4">
        <f>S17*W17</f>
        <v>3</v>
      </c>
      <c r="T18" s="4"/>
      <c r="U18" s="11">
        <f t="shared" si="6"/>
        <v>36</v>
      </c>
      <c r="V18" s="4"/>
      <c r="X18" s="20"/>
    </row>
    <row r="19" spans="1:24">
      <c r="A19" s="12"/>
      <c r="B19" s="13"/>
      <c r="C19" s="13"/>
      <c r="D19" s="13"/>
      <c r="E19" s="13"/>
      <c r="F19" s="13"/>
      <c r="G19" s="13"/>
      <c r="H19" s="14"/>
      <c r="I19" s="4"/>
      <c r="K19" s="20"/>
      <c r="N19" s="12"/>
      <c r="O19" s="13"/>
      <c r="P19" s="13"/>
      <c r="Q19" s="13"/>
      <c r="R19" s="13"/>
      <c r="S19" s="13"/>
      <c r="T19" s="13"/>
      <c r="U19" s="14"/>
      <c r="V19" s="4"/>
      <c r="X19" s="20"/>
    </row>
    <row r="20" spans="1:24" hidden="1">
      <c r="A20" s="10" t="s">
        <v>59</v>
      </c>
      <c r="B20" s="4"/>
      <c r="C20" s="4"/>
      <c r="D20" s="4"/>
      <c r="E20" s="4"/>
      <c r="F20" s="4"/>
      <c r="G20" s="4"/>
      <c r="H20" s="11">
        <f t="shared" ref="H20:H24" si="7">SUM(B20:G20)</f>
        <v>0</v>
      </c>
      <c r="I20" s="4" t="s">
        <v>48</v>
      </c>
      <c r="J20" s="4"/>
      <c r="K20" s="20"/>
      <c r="N20" s="10" t="s">
        <v>59</v>
      </c>
      <c r="O20" s="4"/>
      <c r="P20" s="4"/>
      <c r="Q20" s="4"/>
      <c r="R20" s="4"/>
      <c r="S20" s="4"/>
      <c r="T20" s="4"/>
      <c r="U20" s="11">
        <f t="shared" ref="U20:U24" si="8">SUM(O20:T20)</f>
        <v>0</v>
      </c>
      <c r="V20" s="4" t="s">
        <v>48</v>
      </c>
      <c r="W20" s="4"/>
      <c r="X20" s="20">
        <f>W20*U20</f>
        <v>0</v>
      </c>
    </row>
    <row r="21" spans="1:24" hidden="1">
      <c r="A21" s="10" t="s">
        <v>60</v>
      </c>
      <c r="B21" s="4"/>
      <c r="C21" s="4"/>
      <c r="D21" s="4"/>
      <c r="E21" s="4"/>
      <c r="F21" s="4"/>
      <c r="G21" s="4"/>
      <c r="H21" s="11">
        <f t="shared" si="7"/>
        <v>0</v>
      </c>
      <c r="I21" s="4"/>
      <c r="K21" s="20"/>
      <c r="N21" s="10" t="s">
        <v>60</v>
      </c>
      <c r="O21" s="4">
        <f>O20*W20</f>
        <v>0</v>
      </c>
      <c r="P21" s="4">
        <f>P20*W20</f>
        <v>0</v>
      </c>
      <c r="Q21" s="4">
        <f>Q20*W20</f>
        <v>0</v>
      </c>
      <c r="R21" s="4">
        <f>R20*W20</f>
        <v>0</v>
      </c>
      <c r="S21" s="4">
        <f>S20*W20</f>
        <v>0</v>
      </c>
      <c r="T21" s="4"/>
      <c r="U21" s="11">
        <f t="shared" si="8"/>
        <v>0</v>
      </c>
      <c r="V21" s="4"/>
      <c r="X21" s="20"/>
    </row>
    <row r="22" spans="1:24" hidden="1">
      <c r="A22" s="12"/>
      <c r="B22" s="13"/>
      <c r="C22" s="13"/>
      <c r="D22" s="13"/>
      <c r="E22" s="13"/>
      <c r="F22" s="13"/>
      <c r="G22" s="13"/>
      <c r="H22" s="14"/>
      <c r="I22" s="4"/>
      <c r="K22" s="20"/>
      <c r="N22" s="12"/>
      <c r="O22" s="13"/>
      <c r="P22" s="13"/>
      <c r="Q22" s="13"/>
      <c r="R22" s="13"/>
      <c r="S22" s="13"/>
      <c r="T22" s="13"/>
      <c r="U22" s="14"/>
      <c r="V22" s="4"/>
      <c r="X22" s="20"/>
    </row>
    <row r="23" spans="1:24" hidden="1">
      <c r="A23" s="10" t="s">
        <v>61</v>
      </c>
      <c r="B23" s="4"/>
      <c r="C23" s="4"/>
      <c r="D23" s="4"/>
      <c r="E23" s="4"/>
      <c r="F23" s="4"/>
      <c r="G23" s="4"/>
      <c r="H23" s="11">
        <f t="shared" si="7"/>
        <v>0</v>
      </c>
      <c r="I23" s="4" t="s">
        <v>48</v>
      </c>
      <c r="J23" s="4"/>
      <c r="K23" s="20"/>
      <c r="N23" s="10" t="s">
        <v>61</v>
      </c>
      <c r="O23" s="4"/>
      <c r="P23" s="4"/>
      <c r="Q23" s="4"/>
      <c r="R23" s="4"/>
      <c r="S23" s="4"/>
      <c r="T23" s="4"/>
      <c r="U23" s="11">
        <f t="shared" si="8"/>
        <v>0</v>
      </c>
      <c r="V23" s="4" t="s">
        <v>48</v>
      </c>
      <c r="W23" s="4"/>
      <c r="X23" s="20"/>
    </row>
    <row r="24" spans="1:24" hidden="1">
      <c r="A24" s="10" t="s">
        <v>62</v>
      </c>
      <c r="B24" s="4"/>
      <c r="C24" s="4"/>
      <c r="D24" s="4"/>
      <c r="E24" s="4"/>
      <c r="F24" s="4"/>
      <c r="G24" s="4"/>
      <c r="H24" s="11">
        <f t="shared" si="7"/>
        <v>0</v>
      </c>
      <c r="I24" s="4"/>
      <c r="K24" s="20"/>
      <c r="N24" s="10" t="s">
        <v>62</v>
      </c>
      <c r="O24" s="4"/>
      <c r="P24" s="4"/>
      <c r="Q24" s="4"/>
      <c r="R24" s="4"/>
      <c r="S24" s="4"/>
      <c r="T24" s="4"/>
      <c r="U24" s="11">
        <f t="shared" si="8"/>
        <v>0</v>
      </c>
      <c r="V24" s="4"/>
      <c r="X24" s="20"/>
    </row>
    <row r="25" spans="1:24" hidden="1">
      <c r="A25" s="12"/>
      <c r="B25" s="13"/>
      <c r="C25" s="13"/>
      <c r="D25" s="13"/>
      <c r="E25" s="13"/>
      <c r="F25" s="13"/>
      <c r="G25" s="13"/>
      <c r="H25" s="14"/>
      <c r="I25" s="4"/>
      <c r="K25" s="20"/>
      <c r="N25" s="12"/>
      <c r="O25" s="13"/>
      <c r="P25" s="13"/>
      <c r="Q25" s="13"/>
      <c r="R25" s="13"/>
      <c r="S25" s="13"/>
      <c r="T25" s="13"/>
      <c r="U25" s="14"/>
      <c r="V25" s="4"/>
      <c r="X25" s="20"/>
    </row>
    <row r="26" spans="1:24" hidden="1">
      <c r="A26" s="10" t="s">
        <v>63</v>
      </c>
      <c r="B26" s="4"/>
      <c r="C26" s="4"/>
      <c r="D26" s="4"/>
      <c r="E26" s="4"/>
      <c r="F26" s="4"/>
      <c r="G26" s="4"/>
      <c r="H26" s="11">
        <f t="shared" ref="H26:H30" si="9">SUM(B26:G26)</f>
        <v>0</v>
      </c>
      <c r="I26" s="4" t="s">
        <v>48</v>
      </c>
      <c r="J26" s="4"/>
      <c r="K26" s="20"/>
      <c r="N26" s="10" t="s">
        <v>63</v>
      </c>
      <c r="O26" s="4"/>
      <c r="P26" s="4"/>
      <c r="Q26" s="4"/>
      <c r="R26" s="4"/>
      <c r="S26" s="4"/>
      <c r="T26" s="4"/>
      <c r="U26" s="11">
        <f t="shared" ref="U26:U30" si="10">SUM(O26:T26)</f>
        <v>0</v>
      </c>
      <c r="V26" s="4" t="s">
        <v>48</v>
      </c>
      <c r="W26" s="4"/>
      <c r="X26" s="20"/>
    </row>
    <row r="27" spans="1:24" hidden="1">
      <c r="A27" s="10" t="s">
        <v>64</v>
      </c>
      <c r="B27" s="4"/>
      <c r="C27" s="4"/>
      <c r="D27" s="4"/>
      <c r="E27" s="4"/>
      <c r="F27" s="4"/>
      <c r="G27" s="4"/>
      <c r="H27" s="11">
        <f t="shared" si="9"/>
        <v>0</v>
      </c>
      <c r="I27" s="4"/>
      <c r="K27" s="20"/>
      <c r="N27" s="10" t="s">
        <v>64</v>
      </c>
      <c r="O27" s="4"/>
      <c r="P27" s="4"/>
      <c r="Q27" s="4"/>
      <c r="R27" s="4"/>
      <c r="S27" s="4"/>
      <c r="T27" s="4"/>
      <c r="U27" s="11">
        <f t="shared" si="10"/>
        <v>0</v>
      </c>
      <c r="V27" s="4"/>
      <c r="X27" s="20"/>
    </row>
    <row r="28" spans="1:24" hidden="1">
      <c r="A28" s="10"/>
      <c r="B28" s="4"/>
      <c r="C28" s="4"/>
      <c r="D28" s="4"/>
      <c r="E28" s="4"/>
      <c r="F28" s="4"/>
      <c r="G28" s="4"/>
      <c r="H28" s="11"/>
      <c r="I28" s="4"/>
      <c r="K28" s="20"/>
      <c r="N28" s="10"/>
      <c r="O28" s="4"/>
      <c r="P28" s="4"/>
      <c r="Q28" s="4"/>
      <c r="R28" s="4"/>
      <c r="S28" s="4"/>
      <c r="T28" s="4"/>
      <c r="U28" s="11"/>
      <c r="V28" s="4"/>
      <c r="X28" s="20"/>
    </row>
    <row r="29" spans="1:24" hidden="1">
      <c r="A29" s="15" t="s">
        <v>65</v>
      </c>
      <c r="B29" s="16"/>
      <c r="C29" s="16"/>
      <c r="D29" s="16"/>
      <c r="E29" s="16"/>
      <c r="F29" s="16"/>
      <c r="G29" s="16"/>
      <c r="H29" s="17">
        <f t="shared" si="9"/>
        <v>0</v>
      </c>
      <c r="I29" s="4" t="s">
        <v>48</v>
      </c>
      <c r="J29" s="4"/>
      <c r="K29" s="20"/>
      <c r="N29" s="15" t="s">
        <v>65</v>
      </c>
      <c r="O29" s="16"/>
      <c r="P29" s="16"/>
      <c r="Q29" s="16"/>
      <c r="R29" s="16"/>
      <c r="S29" s="16"/>
      <c r="T29" s="16"/>
      <c r="U29" s="17">
        <f t="shared" si="10"/>
        <v>0</v>
      </c>
      <c r="V29" s="4" t="s">
        <v>48</v>
      </c>
      <c r="W29" s="4"/>
      <c r="X29" s="20"/>
    </row>
    <row r="30" spans="1:24" hidden="1">
      <c r="A30" s="10" t="s">
        <v>66</v>
      </c>
      <c r="B30" s="4"/>
      <c r="C30" s="4"/>
      <c r="D30" s="4"/>
      <c r="E30" s="4"/>
      <c r="F30" s="4"/>
      <c r="G30" s="4"/>
      <c r="H30" s="11">
        <f t="shared" si="9"/>
        <v>0</v>
      </c>
      <c r="I30" s="4"/>
      <c r="K30" s="20"/>
      <c r="N30" s="10" t="s">
        <v>66</v>
      </c>
      <c r="O30" s="4"/>
      <c r="P30" s="4"/>
      <c r="Q30" s="4"/>
      <c r="R30" s="4"/>
      <c r="S30" s="4"/>
      <c r="T30" s="4"/>
      <c r="U30" s="11">
        <f t="shared" si="10"/>
        <v>0</v>
      </c>
      <c r="V30" s="4"/>
      <c r="X30" s="20"/>
    </row>
    <row r="31" spans="1:24" hidden="1">
      <c r="A31" s="12"/>
      <c r="B31" s="13"/>
      <c r="C31" s="13"/>
      <c r="D31" s="13"/>
      <c r="E31" s="13"/>
      <c r="F31" s="13"/>
      <c r="G31" s="13"/>
      <c r="H31" s="14"/>
      <c r="I31" s="4"/>
      <c r="K31" s="20"/>
      <c r="N31" s="12"/>
      <c r="O31" s="13"/>
      <c r="P31" s="13"/>
      <c r="Q31" s="13"/>
      <c r="R31" s="13"/>
      <c r="S31" s="13"/>
      <c r="T31" s="13"/>
      <c r="U31" s="14"/>
      <c r="V31" s="4"/>
      <c r="X31" s="20"/>
    </row>
    <row r="32" spans="1:24" hidden="1">
      <c r="A32" s="15" t="s">
        <v>67</v>
      </c>
      <c r="B32" s="16"/>
      <c r="C32" s="16"/>
      <c r="D32" s="16"/>
      <c r="E32" s="16"/>
      <c r="F32" s="16"/>
      <c r="G32" s="16"/>
      <c r="H32" s="17">
        <f>SUM(B32:G32)</f>
        <v>0</v>
      </c>
      <c r="I32" s="4" t="s">
        <v>48</v>
      </c>
      <c r="J32" s="4"/>
      <c r="K32" s="20"/>
      <c r="N32" s="15" t="s">
        <v>67</v>
      </c>
      <c r="O32" s="16"/>
      <c r="P32" s="16"/>
      <c r="Q32" s="16"/>
      <c r="R32" s="16"/>
      <c r="S32" s="16"/>
      <c r="T32" s="16"/>
      <c r="U32" s="17">
        <f t="shared" ref="U32:U36" si="11">SUM(O32:T32)</f>
        <v>0</v>
      </c>
      <c r="V32" s="4" t="s">
        <v>48</v>
      </c>
      <c r="W32" s="4"/>
      <c r="X32" s="20"/>
    </row>
    <row r="33" spans="1:24" hidden="1">
      <c r="A33" s="10" t="s">
        <v>68</v>
      </c>
      <c r="B33" s="4"/>
      <c r="C33" s="4"/>
      <c r="D33" s="4"/>
      <c r="E33" s="4"/>
      <c r="F33" s="4"/>
      <c r="G33" s="4"/>
      <c r="H33" s="11">
        <f>SUM(B33:G33)</f>
        <v>0</v>
      </c>
      <c r="I33" s="4"/>
      <c r="K33" s="20"/>
      <c r="N33" s="10" t="s">
        <v>68</v>
      </c>
      <c r="O33" s="4"/>
      <c r="P33" s="4"/>
      <c r="Q33" s="4"/>
      <c r="R33" s="4"/>
      <c r="S33" s="4"/>
      <c r="T33" s="4"/>
      <c r="U33" s="11">
        <f t="shared" si="11"/>
        <v>0</v>
      </c>
      <c r="V33" s="4"/>
      <c r="X33" s="20"/>
    </row>
    <row r="34" spans="1:24" hidden="1">
      <c r="A34" s="10"/>
      <c r="B34" s="4"/>
      <c r="C34" s="4"/>
      <c r="D34" s="4"/>
      <c r="E34" s="4"/>
      <c r="F34" s="4"/>
      <c r="G34" s="4"/>
      <c r="H34" s="11"/>
      <c r="I34" s="4"/>
      <c r="K34" s="20"/>
      <c r="N34" s="10"/>
      <c r="O34" s="4"/>
      <c r="P34" s="4"/>
      <c r="Q34" s="4"/>
      <c r="R34" s="4"/>
      <c r="S34" s="4"/>
      <c r="T34" s="4"/>
      <c r="U34" s="11"/>
      <c r="V34" s="4"/>
      <c r="X34" s="20"/>
    </row>
    <row r="35" spans="1:24" hidden="1">
      <c r="A35" s="18"/>
      <c r="B35" s="13"/>
      <c r="C35" s="13"/>
      <c r="D35" s="13"/>
      <c r="E35" s="13"/>
      <c r="F35" s="13"/>
      <c r="G35" s="13"/>
      <c r="H35" s="9"/>
      <c r="I35" s="13"/>
      <c r="J35" s="21"/>
      <c r="K35" s="22"/>
      <c r="N35" s="18"/>
      <c r="O35" s="13"/>
      <c r="P35" s="13"/>
      <c r="Q35" s="13"/>
      <c r="R35" s="13"/>
      <c r="S35" s="13"/>
      <c r="T35" s="13"/>
      <c r="U35" s="9"/>
      <c r="V35" s="13"/>
      <c r="W35" s="21"/>
      <c r="X35" s="22"/>
    </row>
    <row r="36" spans="1:24" ht="12.75" customHeight="1">
      <c r="A36" s="255" t="s">
        <v>69</v>
      </c>
      <c r="B36" s="19">
        <f>SUM(B27,B24,B21,B18,B15,B12,B9,B30,B33)</f>
        <v>9</v>
      </c>
      <c r="C36" s="19">
        <f>SUM(C27,C24,C21,C18,C15,C12,C9,C30,C33)</f>
        <v>9</v>
      </c>
      <c r="D36" s="19">
        <f>SUM(D27,D24,D21,D18,D15,D12,D9,D30,D33)</f>
        <v>11</v>
      </c>
      <c r="E36" s="19">
        <f t="shared" ref="E36:G36" si="12">SUM(E27,E24,E21,E18,E15,E12,E9,E30,E33)</f>
        <v>9</v>
      </c>
      <c r="F36" s="19">
        <f t="shared" si="12"/>
        <v>9</v>
      </c>
      <c r="G36" s="19">
        <f t="shared" si="12"/>
        <v>11</v>
      </c>
      <c r="H36" s="19">
        <f>SUM(B36:G36)</f>
        <v>58</v>
      </c>
      <c r="I36" s="4"/>
      <c r="J36" s="1">
        <f>SUM(J8:J19)</f>
        <v>6</v>
      </c>
      <c r="K36" s="1">
        <f>SUM(K8:K19)</f>
        <v>58</v>
      </c>
      <c r="N36" s="255" t="s">
        <v>69</v>
      </c>
      <c r="O36" s="19">
        <f t="shared" ref="O36:T36" si="13">SUM(O27,O24,O21,O18,O15,O12,O9,O30,O33)</f>
        <v>14</v>
      </c>
      <c r="P36" s="19">
        <f t="shared" si="13"/>
        <v>14</v>
      </c>
      <c r="Q36" s="19">
        <f t="shared" si="13"/>
        <v>14</v>
      </c>
      <c r="R36" s="19">
        <f t="shared" si="13"/>
        <v>9</v>
      </c>
      <c r="S36" s="19">
        <f t="shared" si="13"/>
        <v>5</v>
      </c>
      <c r="T36" s="19">
        <f t="shared" si="13"/>
        <v>0</v>
      </c>
      <c r="U36" s="19">
        <f t="shared" si="11"/>
        <v>56</v>
      </c>
      <c r="V36" s="4"/>
      <c r="W36" s="1">
        <f>SUM(W8:W20)</f>
        <v>6</v>
      </c>
      <c r="X36" s="1">
        <f>SUM(X8:X20)</f>
        <v>56</v>
      </c>
    </row>
    <row r="37" spans="1:24">
      <c r="A37" s="256"/>
      <c r="B37" s="4"/>
      <c r="C37" s="4"/>
      <c r="D37" s="4"/>
      <c r="E37" s="4"/>
      <c r="F37" s="4"/>
      <c r="G37" s="4"/>
      <c r="I37" s="4"/>
      <c r="K37" s="23"/>
      <c r="N37" s="256"/>
      <c r="O37" s="4"/>
      <c r="P37" s="4"/>
      <c r="Q37" s="4"/>
      <c r="R37" s="4"/>
      <c r="S37" s="4"/>
      <c r="T37" s="4"/>
      <c r="V37" s="4"/>
      <c r="X37" s="23"/>
    </row>
    <row r="40" spans="1:24" ht="18">
      <c r="A40" s="5">
        <f>A6</f>
        <v>0</v>
      </c>
      <c r="B40" s="6"/>
      <c r="C40" s="4"/>
      <c r="D40" s="4"/>
      <c r="E40" s="4"/>
      <c r="F40" s="4"/>
      <c r="G40" s="4"/>
      <c r="I40" s="4"/>
      <c r="N40" s="5">
        <f>A40</f>
        <v>0</v>
      </c>
      <c r="O40" s="6"/>
      <c r="P40" s="4"/>
      <c r="Q40" s="4"/>
      <c r="R40" s="4"/>
      <c r="S40" s="4"/>
      <c r="T40" s="4"/>
      <c r="V40" s="4"/>
    </row>
    <row r="41" spans="1:24">
      <c r="A41" s="7">
        <f>PO!D13</f>
        <v>0</v>
      </c>
      <c r="B41" s="8">
        <v>26</v>
      </c>
      <c r="C41" s="8">
        <f t="shared" ref="C41:G41" si="14">B41+1</f>
        <v>27</v>
      </c>
      <c r="D41" s="8">
        <f t="shared" si="14"/>
        <v>28</v>
      </c>
      <c r="E41" s="8">
        <f t="shared" si="14"/>
        <v>29</v>
      </c>
      <c r="F41" s="8">
        <f t="shared" si="14"/>
        <v>30</v>
      </c>
      <c r="G41" s="8">
        <f t="shared" si="14"/>
        <v>31</v>
      </c>
      <c r="H41" s="9"/>
      <c r="I41" s="4"/>
      <c r="J41" s="4" t="s">
        <v>45</v>
      </c>
      <c r="K41" s="4" t="s">
        <v>46</v>
      </c>
      <c r="N41" s="7">
        <f>A41</f>
        <v>0</v>
      </c>
      <c r="O41" s="8">
        <f>G41+1</f>
        <v>32</v>
      </c>
      <c r="P41" s="8">
        <f t="shared" ref="P41:T41" si="15">O41+1</f>
        <v>33</v>
      </c>
      <c r="Q41" s="8">
        <f t="shared" si="15"/>
        <v>34</v>
      </c>
      <c r="R41" s="8">
        <f t="shared" si="15"/>
        <v>35</v>
      </c>
      <c r="S41" s="8">
        <f t="shared" si="15"/>
        <v>36</v>
      </c>
      <c r="T41" s="8">
        <f t="shared" si="15"/>
        <v>37</v>
      </c>
      <c r="U41" s="9"/>
      <c r="V41" s="4"/>
      <c r="W41" s="4" t="s">
        <v>45</v>
      </c>
      <c r="X41" s="4" t="s">
        <v>46</v>
      </c>
    </row>
    <row r="42" spans="1:24">
      <c r="A42" s="10" t="s">
        <v>47</v>
      </c>
      <c r="B42" s="4">
        <v>1</v>
      </c>
      <c r="C42" s="4">
        <v>1</v>
      </c>
      <c r="D42" s="4">
        <v>2</v>
      </c>
      <c r="E42" s="4">
        <v>1</v>
      </c>
      <c r="F42" s="4">
        <v>1</v>
      </c>
      <c r="G42" s="4">
        <v>2</v>
      </c>
      <c r="H42" s="11">
        <f t="shared" ref="H42:H46" si="16">SUM(B42:G42)</f>
        <v>8</v>
      </c>
      <c r="I42" s="4" t="s">
        <v>48</v>
      </c>
      <c r="J42" s="4">
        <v>2</v>
      </c>
      <c r="K42" s="20">
        <f>J42*H42</f>
        <v>16</v>
      </c>
      <c r="L42" s="2" t="s">
        <v>49</v>
      </c>
      <c r="N42" s="10" t="s">
        <v>47</v>
      </c>
      <c r="O42" s="4"/>
      <c r="P42" s="4"/>
      <c r="Q42" s="4"/>
      <c r="R42" s="4"/>
      <c r="S42" s="4"/>
      <c r="T42" s="4"/>
      <c r="U42" s="11">
        <f t="shared" ref="U42:U46" si="17">SUM(O42:T42)</f>
        <v>0</v>
      </c>
      <c r="V42" s="4" t="s">
        <v>48</v>
      </c>
      <c r="W42" s="4"/>
      <c r="X42" s="20">
        <f>W42*U42</f>
        <v>0</v>
      </c>
    </row>
    <row r="43" spans="1:24">
      <c r="A43" s="10" t="s">
        <v>50</v>
      </c>
      <c r="B43" s="4">
        <f>B42*J42</f>
        <v>2</v>
      </c>
      <c r="C43" s="4">
        <f>C42*J42</f>
        <v>2</v>
      </c>
      <c r="D43" s="4">
        <f>D42*J42</f>
        <v>4</v>
      </c>
      <c r="E43" s="4">
        <f>E42*J42</f>
        <v>2</v>
      </c>
      <c r="F43" s="4">
        <f>F42*J42</f>
        <v>2</v>
      </c>
      <c r="G43" s="4">
        <f>G42*J42</f>
        <v>4</v>
      </c>
      <c r="H43" s="11">
        <f t="shared" si="16"/>
        <v>16</v>
      </c>
      <c r="I43" s="4"/>
      <c r="K43" s="20"/>
      <c r="N43" s="10" t="s">
        <v>50</v>
      </c>
      <c r="O43" s="4">
        <f>O42*W42</f>
        <v>0</v>
      </c>
      <c r="P43" s="4">
        <f>P42*W42</f>
        <v>0</v>
      </c>
      <c r="Q43" s="4">
        <f>Q42*W42</f>
        <v>0</v>
      </c>
      <c r="R43" s="4">
        <f>R42*W42</f>
        <v>0</v>
      </c>
      <c r="S43" s="4">
        <f>S42*W42</f>
        <v>0</v>
      </c>
      <c r="T43" s="4"/>
      <c r="U43" s="11">
        <f t="shared" si="17"/>
        <v>0</v>
      </c>
      <c r="V43" s="4"/>
      <c r="X43" s="20"/>
    </row>
    <row r="44" spans="1:24">
      <c r="A44" s="12"/>
      <c r="B44" s="13"/>
      <c r="C44" s="13"/>
      <c r="D44" s="13"/>
      <c r="E44" s="13"/>
      <c r="F44" s="13"/>
      <c r="G44" s="13"/>
      <c r="H44" s="14"/>
      <c r="I44" s="4"/>
      <c r="K44" s="20"/>
      <c r="N44" s="12"/>
      <c r="O44" s="13"/>
      <c r="P44" s="13"/>
      <c r="Q44" s="13"/>
      <c r="R44" s="13"/>
      <c r="S44" s="13"/>
      <c r="T44" s="13"/>
      <c r="U44" s="14"/>
      <c r="V44" s="4"/>
      <c r="X44" s="20"/>
    </row>
    <row r="45" spans="1:24">
      <c r="A45" s="10" t="s">
        <v>51</v>
      </c>
      <c r="B45" s="4">
        <v>1</v>
      </c>
      <c r="C45" s="4">
        <v>1</v>
      </c>
      <c r="D45" s="4">
        <v>1</v>
      </c>
      <c r="E45" s="4">
        <v>1</v>
      </c>
      <c r="F45" s="4">
        <v>1</v>
      </c>
      <c r="G45" s="4">
        <v>1</v>
      </c>
      <c r="H45" s="11">
        <f t="shared" si="16"/>
        <v>6</v>
      </c>
      <c r="I45" s="4" t="s">
        <v>48</v>
      </c>
      <c r="J45" s="4">
        <v>1</v>
      </c>
      <c r="K45" s="20">
        <f>J45*H45</f>
        <v>6</v>
      </c>
      <c r="L45" s="2" t="s">
        <v>52</v>
      </c>
      <c r="N45" s="10" t="s">
        <v>51</v>
      </c>
      <c r="O45" s="4"/>
      <c r="P45" s="4"/>
      <c r="Q45" s="4"/>
      <c r="R45" s="4"/>
      <c r="S45" s="4"/>
      <c r="T45" s="4"/>
      <c r="U45" s="11">
        <f t="shared" si="17"/>
        <v>0</v>
      </c>
      <c r="V45" s="4" t="s">
        <v>48</v>
      </c>
      <c r="W45" s="4"/>
      <c r="X45" s="20">
        <f>W45*U45</f>
        <v>0</v>
      </c>
    </row>
    <row r="46" spans="1:24">
      <c r="A46" s="10" t="s">
        <v>53</v>
      </c>
      <c r="B46" s="4">
        <f t="shared" ref="B46:G46" si="18">B45*$J$45</f>
        <v>1</v>
      </c>
      <c r="C46" s="4">
        <f t="shared" si="18"/>
        <v>1</v>
      </c>
      <c r="D46" s="4">
        <f t="shared" si="18"/>
        <v>1</v>
      </c>
      <c r="E46" s="4">
        <f t="shared" si="18"/>
        <v>1</v>
      </c>
      <c r="F46" s="4">
        <f t="shared" si="18"/>
        <v>1</v>
      </c>
      <c r="G46" s="4">
        <f t="shared" si="18"/>
        <v>1</v>
      </c>
      <c r="H46" s="11">
        <f t="shared" si="16"/>
        <v>6</v>
      </c>
      <c r="I46" s="4"/>
      <c r="K46" s="20"/>
      <c r="N46" s="10" t="s">
        <v>53</v>
      </c>
      <c r="O46" s="4">
        <f>O45*W45</f>
        <v>0</v>
      </c>
      <c r="P46" s="4">
        <f>P45*W45</f>
        <v>0</v>
      </c>
      <c r="Q46" s="4">
        <f>Q45*W45</f>
        <v>0</v>
      </c>
      <c r="R46" s="4">
        <f>R45*W45</f>
        <v>0</v>
      </c>
      <c r="S46" s="4">
        <f>S45*W45</f>
        <v>0</v>
      </c>
      <c r="T46" s="4"/>
      <c r="U46" s="11">
        <f t="shared" si="17"/>
        <v>0</v>
      </c>
      <c r="V46" s="4"/>
      <c r="X46" s="20"/>
    </row>
    <row r="47" spans="1:24">
      <c r="A47" s="12"/>
      <c r="B47" s="13"/>
      <c r="C47" s="13"/>
      <c r="D47" s="13"/>
      <c r="E47" s="13"/>
      <c r="F47" s="13"/>
      <c r="G47" s="13"/>
      <c r="H47" s="9"/>
      <c r="I47" s="4"/>
      <c r="K47" s="20"/>
      <c r="N47" s="12"/>
      <c r="O47" s="13"/>
      <c r="P47" s="13"/>
      <c r="Q47" s="13"/>
      <c r="R47" s="13"/>
      <c r="S47" s="13"/>
      <c r="T47" s="13"/>
      <c r="U47" s="9"/>
      <c r="V47" s="4"/>
      <c r="X47" s="20"/>
    </row>
    <row r="48" spans="1:24" ht="15" customHeight="1">
      <c r="A48" s="15" t="s">
        <v>54</v>
      </c>
      <c r="B48" s="4">
        <v>2</v>
      </c>
      <c r="C48" s="4">
        <v>2</v>
      </c>
      <c r="D48" s="4">
        <v>2</v>
      </c>
      <c r="E48" s="4">
        <v>2</v>
      </c>
      <c r="F48" s="4">
        <v>2</v>
      </c>
      <c r="G48" s="4">
        <v>2</v>
      </c>
      <c r="H48" s="11">
        <f t="shared" ref="H48:H52" si="19">SUM(B48:G48)</f>
        <v>12</v>
      </c>
      <c r="I48" s="4" t="s">
        <v>48</v>
      </c>
      <c r="J48" s="4">
        <v>3</v>
      </c>
      <c r="K48" s="20">
        <f>J48*H48</f>
        <v>36</v>
      </c>
      <c r="L48" s="2" t="s">
        <v>55</v>
      </c>
      <c r="N48" s="15" t="s">
        <v>54</v>
      </c>
      <c r="O48" s="4"/>
      <c r="P48" s="4"/>
      <c r="Q48" s="4"/>
      <c r="R48" s="4"/>
      <c r="S48" s="4"/>
      <c r="T48" s="4"/>
      <c r="U48" s="11">
        <f t="shared" ref="U48:U52" si="20">SUM(O48:T48)</f>
        <v>0</v>
      </c>
      <c r="V48" s="4" t="s">
        <v>48</v>
      </c>
      <c r="W48" s="4"/>
      <c r="X48" s="20">
        <f>W48*U48</f>
        <v>0</v>
      </c>
    </row>
    <row r="49" spans="1:24">
      <c r="A49" s="10" t="s">
        <v>56</v>
      </c>
      <c r="B49" s="4">
        <f t="shared" ref="B49:G49" si="21">B48*$J$48</f>
        <v>6</v>
      </c>
      <c r="C49" s="4">
        <f t="shared" si="21"/>
        <v>6</v>
      </c>
      <c r="D49" s="4">
        <f t="shared" si="21"/>
        <v>6</v>
      </c>
      <c r="E49" s="4">
        <f t="shared" si="21"/>
        <v>6</v>
      </c>
      <c r="F49" s="4">
        <f t="shared" si="21"/>
        <v>6</v>
      </c>
      <c r="G49" s="4">
        <f t="shared" si="21"/>
        <v>6</v>
      </c>
      <c r="H49" s="11">
        <f t="shared" si="19"/>
        <v>36</v>
      </c>
      <c r="I49" s="4"/>
      <c r="K49" s="20"/>
      <c r="N49" s="10" t="s">
        <v>56</v>
      </c>
      <c r="O49" s="4">
        <f>O48*W48</f>
        <v>0</v>
      </c>
      <c r="P49" s="4">
        <f>P48*W48</f>
        <v>0</v>
      </c>
      <c r="Q49" s="4">
        <f>Q48*W48</f>
        <v>0</v>
      </c>
      <c r="R49" s="4">
        <f>R48*W48</f>
        <v>0</v>
      </c>
      <c r="S49" s="4">
        <f>S48*W48</f>
        <v>0</v>
      </c>
      <c r="T49" s="4"/>
      <c r="U49" s="11">
        <f t="shared" si="20"/>
        <v>0</v>
      </c>
      <c r="V49" s="4"/>
      <c r="X49" s="20"/>
    </row>
    <row r="50" spans="1:24">
      <c r="A50" s="12"/>
      <c r="B50" s="13"/>
      <c r="C50" s="13"/>
      <c r="D50" s="13"/>
      <c r="E50" s="13"/>
      <c r="F50" s="13"/>
      <c r="G50" s="13"/>
      <c r="H50" s="14"/>
      <c r="I50" s="4"/>
      <c r="K50" s="20"/>
      <c r="N50" s="12"/>
      <c r="O50" s="13"/>
      <c r="P50" s="13"/>
      <c r="Q50" s="13"/>
      <c r="R50" s="13"/>
      <c r="S50" s="13"/>
      <c r="T50" s="13"/>
      <c r="U50" s="14"/>
      <c r="V50" s="4"/>
      <c r="X50" s="20"/>
    </row>
    <row r="51" spans="1:24" ht="12" customHeight="1">
      <c r="A51" s="10" t="s">
        <v>57</v>
      </c>
      <c r="B51" s="4"/>
      <c r="C51" s="4"/>
      <c r="D51" s="4"/>
      <c r="E51" s="4"/>
      <c r="F51" s="4"/>
      <c r="G51" s="4"/>
      <c r="H51" s="11">
        <f t="shared" si="19"/>
        <v>0</v>
      </c>
      <c r="I51" s="4" t="s">
        <v>48</v>
      </c>
      <c r="J51" s="4"/>
      <c r="K51" s="20">
        <f>J51*H51</f>
        <v>0</v>
      </c>
      <c r="N51" s="10" t="s">
        <v>57</v>
      </c>
      <c r="O51" s="4"/>
      <c r="P51" s="4"/>
      <c r="Q51" s="4"/>
      <c r="R51" s="4"/>
      <c r="S51" s="4"/>
      <c r="T51" s="4"/>
      <c r="U51" s="11">
        <f t="shared" si="20"/>
        <v>0</v>
      </c>
      <c r="V51" s="4" t="s">
        <v>48</v>
      </c>
      <c r="W51" s="4"/>
      <c r="X51" s="20">
        <f>W51*U51</f>
        <v>0</v>
      </c>
    </row>
    <row r="52" spans="1:24">
      <c r="A52" s="10" t="s">
        <v>58</v>
      </c>
      <c r="B52" s="4"/>
      <c r="C52" s="4"/>
      <c r="D52" s="4"/>
      <c r="E52" s="4"/>
      <c r="F52" s="4"/>
      <c r="G52" s="4"/>
      <c r="H52" s="11">
        <f t="shared" si="19"/>
        <v>0</v>
      </c>
      <c r="I52" s="4"/>
      <c r="K52" s="20"/>
      <c r="N52" s="10" t="s">
        <v>58</v>
      </c>
      <c r="O52" s="4">
        <f>O51*W51</f>
        <v>0</v>
      </c>
      <c r="P52" s="4">
        <f>P51*W51</f>
        <v>0</v>
      </c>
      <c r="Q52" s="4">
        <f>Q51*W51</f>
        <v>0</v>
      </c>
      <c r="R52" s="4">
        <f>R51*W51</f>
        <v>0</v>
      </c>
      <c r="S52" s="4">
        <f>S51*W51</f>
        <v>0</v>
      </c>
      <c r="T52" s="4"/>
      <c r="U52" s="11">
        <f t="shared" si="20"/>
        <v>0</v>
      </c>
      <c r="V52" s="4"/>
      <c r="X52" s="20"/>
    </row>
    <row r="53" spans="1:24">
      <c r="A53" s="12"/>
      <c r="B53" s="13"/>
      <c r="C53" s="13"/>
      <c r="D53" s="13"/>
      <c r="E53" s="13"/>
      <c r="F53" s="13"/>
      <c r="G53" s="13"/>
      <c r="H53" s="14"/>
      <c r="I53" s="4"/>
      <c r="K53" s="20"/>
      <c r="N53" s="12"/>
      <c r="O53" s="13"/>
      <c r="P53" s="13"/>
      <c r="Q53" s="13"/>
      <c r="R53" s="13"/>
      <c r="S53" s="13"/>
      <c r="T53" s="13"/>
      <c r="U53" s="14"/>
      <c r="V53" s="4"/>
      <c r="X53" s="20"/>
    </row>
    <row r="54" spans="1:24">
      <c r="A54" s="10" t="s">
        <v>59</v>
      </c>
      <c r="B54" s="4"/>
      <c r="C54" s="4"/>
      <c r="D54" s="4"/>
      <c r="E54" s="4"/>
      <c r="F54" s="4"/>
      <c r="G54" s="4"/>
      <c r="H54" s="11">
        <f t="shared" ref="H54:H58" si="22">SUM(B54:G54)</f>
        <v>0</v>
      </c>
      <c r="I54" s="4" t="s">
        <v>48</v>
      </c>
      <c r="J54" s="4"/>
      <c r="K54" s="20"/>
      <c r="N54" s="10" t="s">
        <v>59</v>
      </c>
      <c r="O54" s="4"/>
      <c r="P54" s="4"/>
      <c r="Q54" s="4"/>
      <c r="R54" s="4"/>
      <c r="S54" s="4"/>
      <c r="T54" s="4"/>
      <c r="U54" s="11">
        <f t="shared" ref="U54:U58" si="23">SUM(O54:T54)</f>
        <v>0</v>
      </c>
      <c r="V54" s="4" t="s">
        <v>48</v>
      </c>
      <c r="W54" s="4"/>
      <c r="X54" s="20">
        <f>W54*U54</f>
        <v>0</v>
      </c>
    </row>
    <row r="55" spans="1:24">
      <c r="A55" s="10" t="s">
        <v>60</v>
      </c>
      <c r="B55" s="4"/>
      <c r="C55" s="4"/>
      <c r="D55" s="4"/>
      <c r="E55" s="4"/>
      <c r="F55" s="4"/>
      <c r="G55" s="4"/>
      <c r="H55" s="11">
        <f t="shared" si="22"/>
        <v>0</v>
      </c>
      <c r="I55" s="4"/>
      <c r="K55" s="20"/>
      <c r="N55" s="10" t="s">
        <v>60</v>
      </c>
      <c r="O55" s="4">
        <f>O54*W54</f>
        <v>0</v>
      </c>
      <c r="P55" s="4">
        <f>P54*W54</f>
        <v>0</v>
      </c>
      <c r="Q55" s="4">
        <f>Q54*W54</f>
        <v>0</v>
      </c>
      <c r="R55" s="4">
        <f>R54*W54</f>
        <v>0</v>
      </c>
      <c r="S55" s="4">
        <f>S54*W54</f>
        <v>0</v>
      </c>
      <c r="T55" s="4"/>
      <c r="U55" s="11">
        <f t="shared" si="23"/>
        <v>0</v>
      </c>
      <c r="V55" s="4"/>
      <c r="X55" s="20"/>
    </row>
    <row r="56" spans="1:24" hidden="1">
      <c r="A56" s="12"/>
      <c r="B56" s="13"/>
      <c r="C56" s="13"/>
      <c r="D56" s="13"/>
      <c r="E56" s="13"/>
      <c r="F56" s="13"/>
      <c r="G56" s="13"/>
      <c r="H56" s="14"/>
      <c r="I56" s="4"/>
      <c r="K56" s="20"/>
      <c r="N56" s="12"/>
      <c r="O56" s="13"/>
      <c r="P56" s="13"/>
      <c r="Q56" s="13"/>
      <c r="R56" s="13"/>
      <c r="S56" s="13"/>
      <c r="T56" s="13"/>
      <c r="U56" s="14"/>
      <c r="V56" s="4"/>
      <c r="X56" s="20"/>
    </row>
    <row r="57" spans="1:24" hidden="1">
      <c r="A57" s="10" t="s">
        <v>61</v>
      </c>
      <c r="B57" s="4"/>
      <c r="C57" s="4"/>
      <c r="D57" s="4"/>
      <c r="E57" s="4"/>
      <c r="F57" s="4"/>
      <c r="G57" s="4"/>
      <c r="H57" s="11">
        <f t="shared" si="22"/>
        <v>0</v>
      </c>
      <c r="I57" s="4" t="s">
        <v>48</v>
      </c>
      <c r="J57" s="4"/>
      <c r="K57" s="20"/>
      <c r="N57" s="10" t="s">
        <v>61</v>
      </c>
      <c r="O57" s="4"/>
      <c r="P57" s="4"/>
      <c r="Q57" s="4"/>
      <c r="R57" s="4"/>
      <c r="S57" s="4"/>
      <c r="T57" s="4"/>
      <c r="U57" s="11">
        <f t="shared" si="23"/>
        <v>0</v>
      </c>
      <c r="V57" s="4" t="s">
        <v>48</v>
      </c>
      <c r="W57" s="4"/>
      <c r="X57" s="20"/>
    </row>
    <row r="58" spans="1:24" hidden="1">
      <c r="A58" s="10" t="s">
        <v>62</v>
      </c>
      <c r="B58" s="4"/>
      <c r="C58" s="4"/>
      <c r="D58" s="4"/>
      <c r="E58" s="4"/>
      <c r="F58" s="4"/>
      <c r="G58" s="4"/>
      <c r="H58" s="11">
        <f t="shared" si="22"/>
        <v>0</v>
      </c>
      <c r="I58" s="4"/>
      <c r="K58" s="20"/>
      <c r="N58" s="10" t="s">
        <v>62</v>
      </c>
      <c r="O58" s="4"/>
      <c r="P58" s="4"/>
      <c r="Q58" s="4"/>
      <c r="R58" s="4"/>
      <c r="S58" s="4"/>
      <c r="T58" s="4"/>
      <c r="U58" s="11">
        <f t="shared" si="23"/>
        <v>0</v>
      </c>
      <c r="V58" s="4"/>
      <c r="X58" s="20"/>
    </row>
    <row r="59" spans="1:24" hidden="1">
      <c r="A59" s="12"/>
      <c r="B59" s="13"/>
      <c r="C59" s="13"/>
      <c r="D59" s="13"/>
      <c r="E59" s="13"/>
      <c r="F59" s="13"/>
      <c r="G59" s="13"/>
      <c r="H59" s="14"/>
      <c r="I59" s="4"/>
      <c r="K59" s="20"/>
      <c r="N59" s="12"/>
      <c r="O59" s="13"/>
      <c r="P59" s="13"/>
      <c r="Q59" s="13"/>
      <c r="R59" s="13"/>
      <c r="S59" s="13"/>
      <c r="T59" s="13"/>
      <c r="U59" s="14"/>
      <c r="V59" s="4"/>
      <c r="X59" s="20"/>
    </row>
    <row r="60" spans="1:24" hidden="1">
      <c r="A60" s="10" t="s">
        <v>63</v>
      </c>
      <c r="B60" s="4"/>
      <c r="C60" s="4"/>
      <c r="D60" s="4"/>
      <c r="E60" s="4"/>
      <c r="F60" s="4"/>
      <c r="G60" s="4"/>
      <c r="H60" s="11">
        <f t="shared" ref="H60:H64" si="24">SUM(B60:G60)</f>
        <v>0</v>
      </c>
      <c r="I60" s="4" t="s">
        <v>48</v>
      </c>
      <c r="J60" s="4"/>
      <c r="K60" s="20"/>
      <c r="N60" s="10" t="s">
        <v>63</v>
      </c>
      <c r="O60" s="4"/>
      <c r="P60" s="4"/>
      <c r="Q60" s="4"/>
      <c r="R60" s="4"/>
      <c r="S60" s="4"/>
      <c r="T60" s="4"/>
      <c r="U60" s="11">
        <f t="shared" ref="U60:U64" si="25">SUM(O60:T60)</f>
        <v>0</v>
      </c>
      <c r="V60" s="4" t="s">
        <v>48</v>
      </c>
      <c r="W60" s="4"/>
      <c r="X60" s="20"/>
    </row>
    <row r="61" spans="1:24" hidden="1">
      <c r="A61" s="10" t="s">
        <v>64</v>
      </c>
      <c r="B61" s="4"/>
      <c r="C61" s="4"/>
      <c r="D61" s="4"/>
      <c r="E61" s="4"/>
      <c r="F61" s="4"/>
      <c r="G61" s="4"/>
      <c r="H61" s="11">
        <f t="shared" si="24"/>
        <v>0</v>
      </c>
      <c r="I61" s="4"/>
      <c r="K61" s="20"/>
      <c r="N61" s="10" t="s">
        <v>64</v>
      </c>
      <c r="O61" s="4"/>
      <c r="P61" s="4"/>
      <c r="Q61" s="4"/>
      <c r="R61" s="4"/>
      <c r="S61" s="4"/>
      <c r="T61" s="4"/>
      <c r="U61" s="11">
        <f t="shared" si="25"/>
        <v>0</v>
      </c>
      <c r="V61" s="4"/>
      <c r="X61" s="20"/>
    </row>
    <row r="62" spans="1:24" hidden="1">
      <c r="A62" s="10"/>
      <c r="B62" s="4"/>
      <c r="C62" s="4"/>
      <c r="D62" s="4"/>
      <c r="E62" s="4"/>
      <c r="F62" s="4"/>
      <c r="G62" s="4"/>
      <c r="H62" s="11"/>
      <c r="I62" s="4"/>
      <c r="K62" s="20"/>
      <c r="N62" s="10"/>
      <c r="O62" s="4"/>
      <c r="P62" s="4"/>
      <c r="Q62" s="4"/>
      <c r="R62" s="4"/>
      <c r="S62" s="4"/>
      <c r="T62" s="4"/>
      <c r="U62" s="11"/>
      <c r="V62" s="4"/>
      <c r="X62" s="20"/>
    </row>
    <row r="63" spans="1:24" hidden="1">
      <c r="A63" s="15" t="s">
        <v>65</v>
      </c>
      <c r="B63" s="16"/>
      <c r="C63" s="16"/>
      <c r="D63" s="16"/>
      <c r="E63" s="16"/>
      <c r="F63" s="16"/>
      <c r="G63" s="16"/>
      <c r="H63" s="17">
        <f t="shared" si="24"/>
        <v>0</v>
      </c>
      <c r="I63" s="4" t="s">
        <v>48</v>
      </c>
      <c r="J63" s="4"/>
      <c r="K63" s="20"/>
      <c r="N63" s="15" t="s">
        <v>65</v>
      </c>
      <c r="O63" s="16"/>
      <c r="P63" s="16"/>
      <c r="Q63" s="16"/>
      <c r="R63" s="16"/>
      <c r="S63" s="16"/>
      <c r="T63" s="16"/>
      <c r="U63" s="17">
        <f t="shared" si="25"/>
        <v>0</v>
      </c>
      <c r="V63" s="4" t="s">
        <v>48</v>
      </c>
      <c r="W63" s="4"/>
      <c r="X63" s="20"/>
    </row>
    <row r="64" spans="1:24" hidden="1">
      <c r="A64" s="10" t="s">
        <v>66</v>
      </c>
      <c r="B64" s="4"/>
      <c r="C64" s="4"/>
      <c r="D64" s="4"/>
      <c r="E64" s="4"/>
      <c r="F64" s="4"/>
      <c r="G64" s="4"/>
      <c r="H64" s="11">
        <f t="shared" si="24"/>
        <v>0</v>
      </c>
      <c r="I64" s="4"/>
      <c r="K64" s="20"/>
      <c r="N64" s="10" t="s">
        <v>66</v>
      </c>
      <c r="O64" s="4"/>
      <c r="P64" s="4"/>
      <c r="Q64" s="4"/>
      <c r="R64" s="4"/>
      <c r="S64" s="4"/>
      <c r="T64" s="4"/>
      <c r="U64" s="11">
        <f t="shared" si="25"/>
        <v>0</v>
      </c>
      <c r="V64" s="4"/>
      <c r="X64" s="20"/>
    </row>
    <row r="65" spans="1:24" hidden="1">
      <c r="A65" s="12"/>
      <c r="B65" s="13"/>
      <c r="C65" s="13"/>
      <c r="D65" s="13"/>
      <c r="E65" s="13"/>
      <c r="F65" s="13"/>
      <c r="G65" s="13"/>
      <c r="H65" s="14"/>
      <c r="I65" s="4"/>
      <c r="K65" s="20"/>
      <c r="N65" s="12"/>
      <c r="O65" s="13"/>
      <c r="P65" s="13"/>
      <c r="Q65" s="13"/>
      <c r="R65" s="13"/>
      <c r="S65" s="13"/>
      <c r="T65" s="13"/>
      <c r="U65" s="14"/>
      <c r="V65" s="4"/>
      <c r="X65" s="20"/>
    </row>
    <row r="66" spans="1:24" hidden="1">
      <c r="A66" s="15" t="s">
        <v>67</v>
      </c>
      <c r="B66" s="16"/>
      <c r="C66" s="16"/>
      <c r="D66" s="16"/>
      <c r="E66" s="16"/>
      <c r="F66" s="16"/>
      <c r="G66" s="16"/>
      <c r="H66" s="17">
        <f t="shared" ref="H66:H67" si="26">SUM(B66:G66)</f>
        <v>0</v>
      </c>
      <c r="I66" s="4" t="s">
        <v>48</v>
      </c>
      <c r="J66" s="4"/>
      <c r="K66" s="20"/>
      <c r="N66" s="15" t="s">
        <v>67</v>
      </c>
      <c r="O66" s="16"/>
      <c r="P66" s="16"/>
      <c r="Q66" s="16"/>
      <c r="R66" s="16"/>
      <c r="S66" s="16"/>
      <c r="T66" s="16"/>
      <c r="U66" s="17">
        <f t="shared" ref="U66:U70" si="27">SUM(O66:T66)</f>
        <v>0</v>
      </c>
      <c r="V66" s="4" t="s">
        <v>48</v>
      </c>
      <c r="W66" s="4"/>
      <c r="X66" s="20"/>
    </row>
    <row r="67" spans="1:24" hidden="1">
      <c r="A67" s="10" t="s">
        <v>68</v>
      </c>
      <c r="B67" s="4"/>
      <c r="C67" s="4"/>
      <c r="D67" s="4"/>
      <c r="E67" s="4"/>
      <c r="F67" s="4"/>
      <c r="G67" s="4"/>
      <c r="H67" s="11">
        <f t="shared" si="26"/>
        <v>0</v>
      </c>
      <c r="I67" s="4"/>
      <c r="K67" s="20"/>
      <c r="N67" s="10" t="s">
        <v>68</v>
      </c>
      <c r="O67" s="4"/>
      <c r="P67" s="4"/>
      <c r="Q67" s="4"/>
      <c r="R67" s="4"/>
      <c r="S67" s="4"/>
      <c r="T67" s="4"/>
      <c r="U67" s="11">
        <f t="shared" si="27"/>
        <v>0</v>
      </c>
      <c r="V67" s="4"/>
      <c r="X67" s="20"/>
    </row>
    <row r="68" spans="1:24">
      <c r="A68" s="10"/>
      <c r="B68" s="4"/>
      <c r="C68" s="4"/>
      <c r="D68" s="4"/>
      <c r="E68" s="4"/>
      <c r="F68" s="4"/>
      <c r="G68" s="4"/>
      <c r="H68" s="11"/>
      <c r="I68" s="4"/>
      <c r="K68" s="20"/>
      <c r="N68" s="10"/>
      <c r="O68" s="4"/>
      <c r="P68" s="4"/>
      <c r="Q68" s="4"/>
      <c r="R68" s="4"/>
      <c r="S68" s="4"/>
      <c r="T68" s="4"/>
      <c r="U68" s="11"/>
      <c r="V68" s="4"/>
      <c r="X68" s="20"/>
    </row>
    <row r="69" spans="1:24">
      <c r="A69" s="18"/>
      <c r="B69" s="13"/>
      <c r="C69" s="13"/>
      <c r="D69" s="13"/>
      <c r="E69" s="13"/>
      <c r="F69" s="13"/>
      <c r="G69" s="13"/>
      <c r="H69" s="9"/>
      <c r="I69" s="13"/>
      <c r="J69" s="21"/>
      <c r="K69" s="22"/>
      <c r="N69" s="18"/>
      <c r="O69" s="13"/>
      <c r="P69" s="13"/>
      <c r="Q69" s="13"/>
      <c r="R69" s="13"/>
      <c r="S69" s="13"/>
      <c r="T69" s="13"/>
      <c r="U69" s="9"/>
      <c r="V69" s="13"/>
      <c r="W69" s="21"/>
      <c r="X69" s="22"/>
    </row>
    <row r="70" spans="1:24">
      <c r="A70" s="255" t="s">
        <v>69</v>
      </c>
      <c r="B70" s="19">
        <f t="shared" ref="B70:G70" si="28">SUM(B61,B58,B55,B52,B49,B46,B43,B64,B67)</f>
        <v>9</v>
      </c>
      <c r="C70" s="19">
        <f t="shared" si="28"/>
        <v>9</v>
      </c>
      <c r="D70" s="19">
        <f t="shared" si="28"/>
        <v>11</v>
      </c>
      <c r="E70" s="19">
        <f t="shared" si="28"/>
        <v>9</v>
      </c>
      <c r="F70" s="19">
        <f t="shared" si="28"/>
        <v>9</v>
      </c>
      <c r="G70" s="19">
        <f t="shared" si="28"/>
        <v>11</v>
      </c>
      <c r="H70" s="19">
        <f>SUM(B70:G70)</f>
        <v>58</v>
      </c>
      <c r="I70" s="4"/>
      <c r="J70" s="1">
        <f>SUM(J42:J53)</f>
        <v>6</v>
      </c>
      <c r="K70" s="1">
        <f>SUM(K42:K53)</f>
        <v>58</v>
      </c>
      <c r="N70" s="255" t="s">
        <v>69</v>
      </c>
      <c r="O70" s="19">
        <f t="shared" ref="O70:T70" si="29">SUM(O61,O58,O55,O52,O49,O46,O43,O64,O67)</f>
        <v>0</v>
      </c>
      <c r="P70" s="19">
        <f t="shared" si="29"/>
        <v>0</v>
      </c>
      <c r="Q70" s="19">
        <f t="shared" si="29"/>
        <v>0</v>
      </c>
      <c r="R70" s="19">
        <f t="shared" si="29"/>
        <v>0</v>
      </c>
      <c r="S70" s="19">
        <f t="shared" si="29"/>
        <v>0</v>
      </c>
      <c r="T70" s="19">
        <f t="shared" si="29"/>
        <v>0</v>
      </c>
      <c r="U70" s="19">
        <f t="shared" si="27"/>
        <v>0</v>
      </c>
      <c r="V70" s="4"/>
      <c r="W70" s="1">
        <f>SUM(W42:W54)</f>
        <v>0</v>
      </c>
      <c r="X70" s="1">
        <f>SUM(X42:X54)</f>
        <v>0</v>
      </c>
    </row>
    <row r="71" spans="1:24">
      <c r="A71" s="256"/>
      <c r="B71" s="4"/>
      <c r="C71" s="4"/>
      <c r="D71" s="4"/>
      <c r="E71" s="4"/>
      <c r="F71" s="4"/>
      <c r="G71" s="4"/>
      <c r="I71" s="4"/>
      <c r="K71" s="23"/>
      <c r="N71" s="256"/>
      <c r="O71" s="4"/>
      <c r="P71" s="4"/>
      <c r="Q71" s="4"/>
      <c r="R71" s="4"/>
      <c r="S71" s="4"/>
      <c r="T71" s="4"/>
      <c r="V71" s="4"/>
      <c r="X71" s="23"/>
    </row>
  </sheetData>
  <mergeCells count="4">
    <mergeCell ref="A36:A37"/>
    <mergeCell ref="A70:A71"/>
    <mergeCell ref="N36:N37"/>
    <mergeCell ref="N70:N71"/>
  </mergeCells>
  <pageMargins left="0.25" right="0.25" top="1" bottom="1" header="0.3" footer="0.3"/>
  <pageSetup paperSize="5" scale="9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PO</vt:lpstr>
      <vt:lpstr>packing list</vt:lpstr>
      <vt:lpstr>'packing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maria.angelina</dc:creator>
  <cp:lastModifiedBy>Julius Evan</cp:lastModifiedBy>
  <cp:lastPrinted>2026-10-06T01:42:58Z</cp:lastPrinted>
  <dcterms:created xsi:type="dcterms:W3CDTF">2015-03-30T10:01:00Z</dcterms:created>
  <dcterms:modified xsi:type="dcterms:W3CDTF">2026-10-06T01:43:01Z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1033-12.2.0.20326</vt:lpwstr>
  </property>
  <property fmtid="{D5CDD505-2E9C-101B-9397-08002B2CF9AE}" pid="3" name="ICV">
    <vt:lpwstr>3230D9630A9D45BA8B762C8548A34895_13</vt:lpwstr>
  </property>
  <property fmtid="{D5CDD505-2E9C-101B-9397-08002B2CF9AE}" pid="4" name="KSOReadingLayout">
    <vt:bool>true</vt:bool>
  </property>
</Properties>
</file>