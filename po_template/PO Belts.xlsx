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ANGKURIANG\MD_PROJECT\PO\SUPER\po_template\"/>
    </mc:Choice>
  </mc:AlternateContent>
  <bookViews>
    <workbookView xWindow="0" yWindow="0" windowWidth="25660" windowHeight="12480"/>
  </bookViews>
  <sheets>
    <sheet name="Confirmed PO" sheetId="4" r:id="rId1"/>
  </sheets>
  <definedNames>
    <definedName name="_xlnm.Print_Area" localSheetId="0">'Confirmed PO'!$A$1:$U$53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4" l="1"/>
  <c r="E38" i="4"/>
  <c r="C38" i="4"/>
  <c r="A29" i="4"/>
  <c r="U16" i="4"/>
  <c r="S16" i="4"/>
  <c r="U12" i="4"/>
  <c r="S12" i="4"/>
  <c r="U11" i="4"/>
  <c r="S11" i="4"/>
  <c r="U10" i="4"/>
  <c r="S10" i="4"/>
</calcChain>
</file>

<file path=xl/sharedStrings.xml><?xml version="1.0" encoding="utf-8"?>
<sst xmlns="http://schemas.openxmlformats.org/spreadsheetml/2006/main" count="56" uniqueCount="53">
  <si>
    <t>PURCHASE ORDER</t>
  </si>
  <si>
    <t>PT. LARA THALIA ABADI</t>
  </si>
  <si>
    <t>PO NO</t>
  </si>
  <si>
    <t xml:space="preserve">: </t>
  </si>
  <si>
    <t>EVERBEST TOWER - CENGKARENG BUSINESS CITY TOWER M</t>
  </si>
  <si>
    <t>EVERBEST</t>
  </si>
  <si>
    <t>Jl. Atang Sanjaya no. 21 Benda - Tangerang Banten, Indonesia</t>
  </si>
  <si>
    <t>DATE</t>
  </si>
  <si>
    <t>:</t>
  </si>
  <si>
    <t>PHONE : 021 - 2252 9090</t>
  </si>
  <si>
    <t>TO</t>
  </si>
  <si>
    <t>: EDE</t>
  </si>
  <si>
    <t>E-MAIL ADDRESS : buyer@everbestgroup.com</t>
  </si>
  <si>
    <t>DESCRIPTION</t>
  </si>
  <si>
    <t>SUPPLIER CODE</t>
  </si>
  <si>
    <t>LTA ARTICLE</t>
  </si>
  <si>
    <t>CODE</t>
  </si>
  <si>
    <t>COLOUR</t>
  </si>
  <si>
    <t>颜色</t>
  </si>
  <si>
    <t>SIZE</t>
  </si>
  <si>
    <t>QTY</t>
  </si>
  <si>
    <t>COST</t>
  </si>
  <si>
    <t>AMOUNT</t>
  </si>
  <si>
    <t>厂编号</t>
  </si>
  <si>
    <t>我司鞋编号</t>
  </si>
  <si>
    <t>SE CA</t>
  </si>
  <si>
    <t>数量</t>
  </si>
  <si>
    <t>US$</t>
  </si>
  <si>
    <t>MAKE SAMPLE</t>
  </si>
  <si>
    <t>FREE</t>
  </si>
  <si>
    <t>FREE SIZE</t>
  </si>
  <si>
    <t xml:space="preserve">Material : </t>
  </si>
  <si>
    <t xml:space="preserve">Lining : </t>
  </si>
  <si>
    <t>Delivery Date</t>
  </si>
  <si>
    <t>BARCODE 请贴条码按照图片：</t>
  </si>
  <si>
    <t>BAG CARD：</t>
  </si>
  <si>
    <t>请缝这个布标写“MADE IN CHINA"在内里布</t>
  </si>
  <si>
    <t>交货日期</t>
  </si>
  <si>
    <t>LOGO :</t>
  </si>
  <si>
    <t>商标</t>
  </si>
  <si>
    <t>TERM OF PAYMENT:</t>
  </si>
  <si>
    <t>CREDIT</t>
  </si>
  <si>
    <t>CARTON MARK ：</t>
  </si>
  <si>
    <t>( 箱标志 )</t>
  </si>
  <si>
    <t>PICTURE ( 图片 ):</t>
  </si>
  <si>
    <t>PACKAGING 包装：</t>
  </si>
  <si>
    <t>OTHER REMARKS:</t>
  </si>
  <si>
    <t>注意：</t>
  </si>
  <si>
    <t>1. FOLLOW AS SAMPLE</t>
  </si>
  <si>
    <t>遵循示例</t>
  </si>
  <si>
    <t>2. PLEASE ENSURE THE LONG STRAP IS INCLUDED IN EACH BAG</t>
  </si>
  <si>
    <t>请确保每个包中均包含长带</t>
  </si>
  <si>
    <t>1. USING NEW DESIGN OF DUSTBAG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</si>
</sst>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7" formatCode="[$￥-804]#,##0"/>
    <numFmt numFmtId="168" formatCode="[$-409]d\-mmm\-yy;@"/>
    <numFmt numFmtId="169" formatCode="_(* #,##0_);_(* \(#,##0\);_(* &quot;-&quot;??_);_(@_)"/>
    <numFmt numFmtId="170" formatCode="_-[$$-409]* #,##0.00_ ;_-[$$-409]* \-#,##0.00\ ;_-[$$-409]* &quot;-&quot;??_ ;_-@_ "/>
  </numFmts>
  <fonts count="66">
    <font>
      <sz val="10"/>
      <name val="Arial"/>
      <charset val="134"/>
    </font>
    <font>
      <sz val="11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1"/>
      <name val="Arial"/>
      <charset val="134"/>
    </font>
    <font>
      <b/>
      <sz val="14"/>
      <name val="Trebuchet MS"/>
      <charset val="134"/>
    </font>
    <font>
      <b/>
      <sz val="14"/>
      <color indexed="18"/>
      <name val="Trebuchet MS"/>
      <charset val="134"/>
    </font>
    <font>
      <b/>
      <sz val="12"/>
      <color indexed="18"/>
      <name val="Trebuchet MS"/>
      <charset val="134"/>
    </font>
    <font>
      <sz val="12"/>
      <name val="Trebuchet MS"/>
      <charset val="134"/>
    </font>
    <font>
      <b/>
      <sz val="36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20"/>
      <name val="Trebuchet MS"/>
      <charset val="134"/>
    </font>
    <font>
      <b/>
      <sz val="16"/>
      <name val="Arial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4"/>
      <color indexed="9"/>
      <name val="Century Gothic"/>
      <charset val="134"/>
    </font>
    <font>
      <b/>
      <sz val="14"/>
      <color rgb="FFFF0000"/>
      <name val="Trebuchet MS"/>
      <charset val="134"/>
    </font>
    <font>
      <b/>
      <sz val="20"/>
      <name val="Comic Sans MS"/>
      <charset val="134"/>
    </font>
    <font>
      <b/>
      <sz val="12"/>
      <color indexed="10"/>
      <name val="Trebuchet MS"/>
      <charset val="134"/>
    </font>
    <font>
      <b/>
      <sz val="12"/>
      <name val="Century Gothic"/>
      <charset val="134"/>
    </font>
    <font>
      <sz val="14"/>
      <name val="SimSun"/>
      <charset val="134"/>
    </font>
    <font>
      <sz val="14"/>
      <name val="Trebuchet MS"/>
      <charset val="134"/>
    </font>
    <font>
      <b/>
      <sz val="12"/>
      <color indexed="16"/>
      <name val="Trebuchet MS"/>
      <charset val="134"/>
    </font>
    <font>
      <sz val="9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b/>
      <sz val="13"/>
      <name val="Calibri"/>
      <charset val="134"/>
    </font>
    <font>
      <b/>
      <sz val="16"/>
      <name val="Century Gothic"/>
      <charset val="134"/>
    </font>
    <font>
      <b/>
      <sz val="14"/>
      <color indexed="16"/>
      <name val="Trebuchet MS"/>
      <charset val="134"/>
    </font>
    <font>
      <b/>
      <sz val="14"/>
      <name val="Century Gothic"/>
      <charset val="134"/>
    </font>
    <font>
      <b/>
      <sz val="16"/>
      <color theme="1"/>
      <name val="Century Gothic"/>
      <charset val="134"/>
    </font>
    <font>
      <b/>
      <sz val="9"/>
      <color indexed="10"/>
      <name val="Trebuchet MS"/>
      <charset val="134"/>
    </font>
    <font>
      <b/>
      <sz val="12"/>
      <color indexed="62"/>
      <name val="Trebuchet MS"/>
      <charset val="134"/>
    </font>
    <font>
      <b/>
      <sz val="14"/>
      <color indexed="62"/>
      <name val="Trebuchet MS"/>
      <charset val="134"/>
    </font>
    <font>
      <sz val="12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  <scheme val="minor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hair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hair">
        <color auto="1"/>
      </right>
      <top/>
      <bottom style="dashed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61">
    <xf numFmtId="0" fontId="0" fillId="0" borderId="0"/>
    <xf numFmtId="43" fontId="65" fillId="0" borderId="0" applyFont="0" applyFill="0" applyBorder="0" applyAlignment="0" applyProtection="0"/>
    <xf numFmtId="0" fontId="44" fillId="8" borderId="0" applyNumberFormat="0" applyBorder="0" applyAlignment="0" applyProtection="0"/>
    <xf numFmtId="0" fontId="44" fillId="9" borderId="0" applyNumberFormat="0" applyBorder="0" applyAlignment="0" applyProtection="0"/>
    <xf numFmtId="0" fontId="44" fillId="10" borderId="0" applyNumberFormat="0" applyBorder="0" applyAlignment="0" applyProtection="0"/>
    <xf numFmtId="0" fontId="44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1" borderId="0" applyNumberFormat="0" applyBorder="0" applyAlignment="0" applyProtection="0"/>
    <xf numFmtId="0" fontId="44" fillId="14" borderId="0" applyNumberFormat="0" applyBorder="0" applyAlignment="0" applyProtection="0"/>
    <xf numFmtId="0" fontId="44" fillId="17" borderId="0" applyNumberFormat="0" applyBorder="0" applyAlignment="0" applyProtection="0"/>
    <xf numFmtId="0" fontId="45" fillId="18" borderId="0" applyNumberFormat="0" applyBorder="0" applyAlignment="0" applyProtection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43" fontId="6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5" fillId="0" borderId="0"/>
    <xf numFmtId="0" fontId="65" fillId="0" borderId="0"/>
    <xf numFmtId="9" fontId="65" fillId="0" borderId="0" applyFont="0" applyFill="0" applyBorder="0" applyAlignment="0" applyProtection="0"/>
    <xf numFmtId="0" fontId="47" fillId="10" borderId="0" applyNumberFormat="0" applyBorder="0" applyAlignment="0" applyProtection="0"/>
    <xf numFmtId="0" fontId="48" fillId="10" borderId="0" applyNumberFormat="0" applyBorder="0" applyAlignment="0" applyProtection="0">
      <alignment vertical="center"/>
    </xf>
    <xf numFmtId="0" fontId="49" fillId="9" borderId="0" applyNumberFormat="0" applyBorder="0" applyAlignment="0" applyProtection="0"/>
    <xf numFmtId="0" fontId="50" fillId="9" borderId="0" applyNumberFormat="0" applyBorder="0" applyAlignment="0" applyProtection="0">
      <alignment vertical="center"/>
    </xf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5" borderId="0" applyNumberFormat="0" applyBorder="0" applyAlignment="0" applyProtection="0"/>
    <xf numFmtId="0" fontId="51" fillId="0" borderId="0" applyNumberFormat="0" applyFill="0" applyBorder="0" applyAlignment="0" applyProtection="0"/>
    <xf numFmtId="0" fontId="52" fillId="0" borderId="50" applyNumberFormat="0" applyFill="0" applyAlignment="0" applyProtection="0"/>
    <xf numFmtId="0" fontId="53" fillId="0" borderId="51" applyNumberFormat="0" applyFill="0" applyAlignment="0" applyProtection="0"/>
    <xf numFmtId="0" fontId="54" fillId="0" borderId="52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26" borderId="53" applyNumberFormat="0" applyAlignment="0" applyProtection="0"/>
    <xf numFmtId="0" fontId="57" fillId="0" borderId="54" applyNumberFormat="0" applyFill="0" applyAlignment="0" applyProtection="0"/>
    <xf numFmtId="0" fontId="57" fillId="0" borderId="54" applyNumberFormat="0" applyFill="0" applyAlignment="0" applyProtection="0"/>
    <xf numFmtId="0" fontId="65" fillId="27" borderId="55" applyNumberFormat="0" applyFont="0" applyAlignment="0" applyProtection="0"/>
    <xf numFmtId="0" fontId="65" fillId="27" borderId="55" applyNumberFormat="0" applyFont="0" applyAlignment="0" applyProtection="0"/>
    <xf numFmtId="0" fontId="65" fillId="27" borderId="55" applyNumberFormat="0" applyFon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28" borderId="56" applyNumberFormat="0" applyAlignment="0" applyProtection="0"/>
    <xf numFmtId="0" fontId="61" fillId="13" borderId="56" applyNumberFormat="0" applyAlignment="0" applyProtection="0"/>
    <xf numFmtId="0" fontId="62" fillId="28" borderId="57" applyNumberFormat="0" applyAlignment="0" applyProtection="0"/>
    <xf numFmtId="0" fontId="62" fillId="28" borderId="57" applyNumberFormat="0" applyAlignment="0" applyProtection="0"/>
    <xf numFmtId="0" fontId="63" fillId="29" borderId="0" applyNumberFormat="0" applyBorder="0" applyAlignment="0" applyProtection="0"/>
    <xf numFmtId="0" fontId="64" fillId="0" borderId="58" applyNumberFormat="0" applyFill="0" applyAlignment="0" applyProtection="0"/>
  </cellStyleXfs>
  <cellXfs count="26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vertical="center"/>
    </xf>
    <xf numFmtId="43" fontId="0" fillId="0" borderId="0" xfId="1" applyNumberFormat="1" applyFont="1" applyAlignment="1">
      <alignment vertical="center"/>
    </xf>
    <xf numFmtId="167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168" fontId="7" fillId="0" borderId="0" xfId="0" applyNumberFormat="1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8" fontId="5" fillId="0" borderId="0" xfId="0" applyNumberFormat="1" applyFont="1" applyBorder="1" applyAlignment="1">
      <alignment vertical="center"/>
    </xf>
    <xf numFmtId="168" fontId="7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7" fillId="0" borderId="15" xfId="0" applyFont="1" applyBorder="1" applyAlignment="1" applyProtection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18" xfId="29" applyFont="1" applyBorder="1" applyAlignment="1">
      <alignment horizontal="left" vertical="center"/>
    </xf>
    <xf numFmtId="0" fontId="13" fillId="0" borderId="18" xfId="0" applyFont="1" applyBorder="1" applyAlignment="1">
      <alignment vertical="center"/>
    </xf>
    <xf numFmtId="0" fontId="13" fillId="0" borderId="19" xfId="29" applyFont="1" applyBorder="1" applyAlignment="1">
      <alignment horizontal="left"/>
    </xf>
    <xf numFmtId="0" fontId="13" fillId="0" borderId="14" xfId="0" applyFont="1" applyBorder="1" applyAlignment="1">
      <alignment vertical="center"/>
    </xf>
    <xf numFmtId="0" fontId="13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7" fillId="3" borderId="21" xfId="0" applyFont="1" applyFill="1" applyBorder="1" applyAlignment="1" applyProtection="1">
      <alignment vertical="center" wrapText="1"/>
    </xf>
    <xf numFmtId="0" fontId="7" fillId="3" borderId="23" xfId="0" applyFont="1" applyFill="1" applyBorder="1" applyAlignment="1" applyProtection="1">
      <alignment vertical="center" wrapText="1"/>
    </xf>
    <xf numFmtId="168" fontId="14" fillId="3" borderId="1" xfId="0" applyNumberFormat="1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7" fillId="3" borderId="29" xfId="0" applyFont="1" applyFill="1" applyBorder="1" applyAlignment="1" applyProtection="1">
      <alignment vertical="center"/>
    </xf>
    <xf numFmtId="0" fontId="7" fillId="3" borderId="23" xfId="0" applyFont="1" applyFill="1" applyBorder="1" applyAlignment="1" applyProtection="1">
      <alignment vertical="center"/>
    </xf>
    <xf numFmtId="0" fontId="10" fillId="3" borderId="4" xfId="0" applyFont="1" applyFill="1" applyBorder="1" applyAlignment="1">
      <alignment vertical="center"/>
    </xf>
    <xf numFmtId="0" fontId="16" fillId="3" borderId="29" xfId="0" applyFont="1" applyFill="1" applyBorder="1" applyAlignment="1" applyProtection="1">
      <alignment vertical="center" wrapText="1"/>
    </xf>
    <xf numFmtId="0" fontId="7" fillId="3" borderId="23" xfId="0" applyFont="1" applyFill="1" applyBorder="1" applyAlignment="1"/>
    <xf numFmtId="0" fontId="8" fillId="3" borderId="27" xfId="0" applyFont="1" applyFill="1" applyBorder="1" applyAlignment="1">
      <alignment vertical="center"/>
    </xf>
    <xf numFmtId="0" fontId="8" fillId="3" borderId="28" xfId="0" applyFont="1" applyFill="1" applyBorder="1" applyAlignment="1">
      <alignment vertical="center"/>
    </xf>
    <xf numFmtId="0" fontId="7" fillId="3" borderId="23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17" fillId="3" borderId="30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center" vertical="center"/>
    </xf>
    <xf numFmtId="0" fontId="8" fillId="3" borderId="0" xfId="0" applyFont="1" applyFill="1" applyBorder="1" applyAlignment="1">
      <alignment vertical="center"/>
    </xf>
    <xf numFmtId="0" fontId="21" fillId="3" borderId="0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22" fillId="3" borderId="0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21" fillId="3" borderId="7" xfId="0" applyFont="1" applyFill="1" applyBorder="1" applyAlignment="1">
      <alignment horizontal="right"/>
    </xf>
    <xf numFmtId="0" fontId="4" fillId="0" borderId="0" xfId="0" applyFont="1" applyAlignment="1">
      <alignment vertical="center"/>
    </xf>
    <xf numFmtId="0" fontId="10" fillId="0" borderId="38" xfId="0" applyNumberFormat="1" applyFont="1" applyFill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0" fontId="7" fillId="0" borderId="41" xfId="0" applyNumberFormat="1" applyFont="1" applyFill="1" applyBorder="1" applyAlignment="1">
      <alignment horizontal="center"/>
    </xf>
    <xf numFmtId="0" fontId="26" fillId="0" borderId="41" xfId="0" applyFont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27" fillId="0" borderId="0" xfId="0" applyFont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0" fontId="22" fillId="3" borderId="2" xfId="0" applyFont="1" applyFill="1" applyBorder="1" applyAlignment="1">
      <alignment vertical="center"/>
    </xf>
    <xf numFmtId="0" fontId="17" fillId="3" borderId="0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34" fillId="0" borderId="14" xfId="0" applyNumberFormat="1" applyFont="1" applyFill="1" applyBorder="1" applyAlignment="1">
      <alignment horizontal="center" vertical="center"/>
    </xf>
    <xf numFmtId="0" fontId="34" fillId="0" borderId="15" xfId="0" applyNumberFormat="1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/>
    </xf>
    <xf numFmtId="169" fontId="35" fillId="0" borderId="0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 wrapText="1"/>
    </xf>
    <xf numFmtId="0" fontId="33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0" fontId="34" fillId="0" borderId="37" xfId="0" applyNumberFormat="1" applyFont="1" applyFill="1" applyBorder="1" applyAlignment="1">
      <alignment horizontal="center" vertical="center"/>
    </xf>
    <xf numFmtId="0" fontId="7" fillId="0" borderId="45" xfId="0" applyFont="1" applyBorder="1" applyAlignment="1" applyProtection="1">
      <alignment horizontal="center" vertical="center"/>
    </xf>
    <xf numFmtId="43" fontId="30" fillId="0" borderId="42" xfId="1" applyNumberFormat="1" applyFont="1" applyBorder="1" applyAlignment="1">
      <alignment horizontal="center" vertical="center" wrapText="1"/>
    </xf>
    <xf numFmtId="0" fontId="10" fillId="0" borderId="43" xfId="0" applyFont="1" applyFill="1" applyBorder="1" applyAlignment="1">
      <alignment horizontal="center" vertical="center"/>
    </xf>
    <xf numFmtId="0" fontId="10" fillId="0" borderId="46" xfId="0" applyNumberFormat="1" applyFont="1" applyFill="1" applyBorder="1" applyAlignment="1">
      <alignment horizontal="center" vertical="center"/>
    </xf>
    <xf numFmtId="170" fontId="36" fillId="0" borderId="47" xfId="1" applyNumberFormat="1" applyFont="1" applyFill="1" applyBorder="1" applyAlignment="1">
      <alignment horizontal="center" vertical="center"/>
    </xf>
    <xf numFmtId="0" fontId="10" fillId="0" borderId="44" xfId="0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horizontal="center" vertical="center"/>
    </xf>
    <xf numFmtId="0" fontId="37" fillId="0" borderId="48" xfId="0" applyFont="1" applyBorder="1" applyAlignment="1">
      <alignment horizontal="center" vertical="center"/>
    </xf>
    <xf numFmtId="170" fontId="37" fillId="7" borderId="49" xfId="1" applyNumberFormat="1" applyFont="1" applyFill="1" applyBorder="1" applyAlignment="1">
      <alignment horizontal="center" vertical="center"/>
    </xf>
    <xf numFmtId="4" fontId="38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43" fontId="8" fillId="0" borderId="0" xfId="1" applyNumberFormat="1" applyFont="1" applyBorder="1" applyAlignment="1">
      <alignment vertical="center"/>
    </xf>
    <xf numFmtId="4" fontId="0" fillId="3" borderId="3" xfId="1" applyNumberFormat="1" applyFont="1" applyFill="1" applyBorder="1" applyAlignment="1">
      <alignment vertical="center"/>
    </xf>
    <xf numFmtId="0" fontId="13" fillId="0" borderId="0" xfId="0" applyFont="1" applyBorder="1" applyAlignment="1">
      <alignment vertical="center"/>
    </xf>
    <xf numFmtId="4" fontId="0" fillId="3" borderId="5" xfId="1" applyNumberFormat="1" applyFont="1" applyFill="1" applyBorder="1" applyAlignment="1">
      <alignment vertical="center"/>
    </xf>
    <xf numFmtId="43" fontId="8" fillId="0" borderId="0" xfId="1" applyNumberFormat="1" applyFont="1" applyFill="1" applyBorder="1" applyAlignment="1">
      <alignment vertical="center"/>
    </xf>
    <xf numFmtId="4" fontId="0" fillId="3" borderId="8" xfId="1" applyNumberFormat="1" applyFont="1" applyFill="1" applyBorder="1" applyAlignment="1">
      <alignment vertical="center"/>
    </xf>
    <xf numFmtId="4" fontId="8" fillId="0" borderId="0" xfId="0" applyNumberFormat="1" applyFont="1" applyBorder="1" applyAlignment="1">
      <alignment vertical="center"/>
    </xf>
    <xf numFmtId="167" fontId="8" fillId="0" borderId="0" xfId="1" applyNumberFormat="1" applyFont="1" applyBorder="1" applyAlignment="1">
      <alignment vertical="center"/>
    </xf>
    <xf numFmtId="0" fontId="39" fillId="0" borderId="0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167" fontId="8" fillId="0" borderId="0" xfId="1" applyNumberFormat="1" applyFont="1" applyFill="1" applyBorder="1" applyAlignment="1">
      <alignment vertical="center"/>
    </xf>
    <xf numFmtId="0" fontId="20" fillId="0" borderId="32" xfId="0" applyFont="1" applyBorder="1" applyAlignment="1">
      <alignment vertical="center"/>
    </xf>
    <xf numFmtId="4" fontId="0" fillId="5" borderId="5" xfId="1" applyNumberFormat="1" applyFont="1" applyFill="1" applyBorder="1" applyAlignment="1">
      <alignment vertical="center"/>
    </xf>
    <xf numFmtId="4" fontId="0" fillId="5" borderId="8" xfId="1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4" fontId="40" fillId="0" borderId="42" xfId="1" applyNumberFormat="1" applyFont="1" applyBorder="1" applyAlignment="1">
      <alignment horizontal="center" vertical="center" wrapText="1"/>
    </xf>
    <xf numFmtId="170" fontId="41" fillId="0" borderId="46" xfId="1" applyNumberFormat="1" applyFont="1" applyFill="1" applyBorder="1" applyAlignment="1">
      <alignment vertical="center"/>
    </xf>
    <xf numFmtId="170" fontId="41" fillId="0" borderId="44" xfId="1" applyNumberFormat="1" applyFont="1" applyFill="1" applyBorder="1" applyAlignment="1">
      <alignment vertical="center"/>
    </xf>
    <xf numFmtId="170" fontId="41" fillId="0" borderId="42" xfId="1" applyNumberFormat="1" applyFont="1" applyFill="1" applyBorder="1" applyAlignment="1">
      <alignment vertical="center"/>
    </xf>
    <xf numFmtId="170" fontId="35" fillId="0" borderId="42" xfId="1" applyNumberFormat="1" applyFont="1" applyFill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42" fillId="0" borderId="0" xfId="0" applyFont="1" applyBorder="1" applyAlignment="1">
      <alignment vertical="center"/>
    </xf>
    <xf numFmtId="0" fontId="42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 wrapText="1"/>
    </xf>
    <xf numFmtId="0" fontId="23" fillId="6" borderId="1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4" fontId="32" fillId="0" borderId="0" xfId="0" applyNumberFormat="1" applyFont="1" applyAlignment="1">
      <alignment horizontal="center" vertical="center"/>
    </xf>
    <xf numFmtId="168" fontId="15" fillId="5" borderId="22" xfId="0" applyNumberFormat="1" applyFont="1" applyFill="1" applyBorder="1" applyAlignment="1">
      <alignment horizontal="center" vertical="center"/>
    </xf>
    <xf numFmtId="168" fontId="15" fillId="5" borderId="32" xfId="0" applyNumberFormat="1" applyFont="1" applyFill="1" applyBorder="1" applyAlignment="1">
      <alignment horizontal="center" vertical="center"/>
    </xf>
    <xf numFmtId="168" fontId="15" fillId="5" borderId="31" xfId="0" applyNumberFormat="1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4" fontId="2" fillId="5" borderId="32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" fontId="7" fillId="0" borderId="3" xfId="0" applyNumberFormat="1" applyFont="1" applyBorder="1" applyAlignment="1">
      <alignment horizontal="left" vertical="center"/>
    </xf>
    <xf numFmtId="0" fontId="19" fillId="4" borderId="22" xfId="0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left"/>
    </xf>
    <xf numFmtId="0" fontId="10" fillId="5" borderId="2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28" fillId="3" borderId="4" xfId="0" applyFont="1" applyFill="1" applyBorder="1" applyAlignment="1">
      <alignment horizontal="left" vertical="center"/>
    </xf>
    <xf numFmtId="0" fontId="29" fillId="3" borderId="0" xfId="0" applyFont="1" applyFill="1" applyAlignment="1">
      <alignment horizontal="left" vertical="center"/>
    </xf>
    <xf numFmtId="0" fontId="29" fillId="3" borderId="5" xfId="0" applyFont="1" applyFill="1" applyBorder="1" applyAlignment="1">
      <alignment horizontal="left" vertical="center"/>
    </xf>
    <xf numFmtId="0" fontId="29" fillId="3" borderId="4" xfId="0" applyFont="1" applyFill="1" applyBorder="1" applyAlignment="1">
      <alignment horizontal="left" vertical="center"/>
    </xf>
    <xf numFmtId="0" fontId="17" fillId="4" borderId="4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left" vertical="center"/>
    </xf>
    <xf numFmtId="0" fontId="29" fillId="3" borderId="7" xfId="0" applyFont="1" applyFill="1" applyBorder="1" applyAlignment="1">
      <alignment horizontal="left" vertical="center"/>
    </xf>
    <xf numFmtId="0" fontId="29" fillId="3" borderId="8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0" borderId="16" xfId="29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textRotation="180"/>
    </xf>
    <xf numFmtId="0" fontId="10" fillId="0" borderId="40" xfId="0" applyFont="1" applyBorder="1" applyAlignment="1">
      <alignment horizontal="center" vertical="center" textRotation="180"/>
    </xf>
    <xf numFmtId="0" fontId="10" fillId="0" borderId="42" xfId="0" applyFont="1" applyBorder="1" applyAlignment="1">
      <alignment horizontal="center" vertical="center" textRotation="180"/>
    </xf>
    <xf numFmtId="0" fontId="34" fillId="0" borderId="9" xfId="0" applyNumberFormat="1" applyFont="1" applyFill="1" applyBorder="1" applyAlignment="1">
      <alignment horizontal="center" vertical="center"/>
    </xf>
    <xf numFmtId="0" fontId="34" fillId="0" borderId="18" xfId="0" applyNumberFormat="1" applyFont="1" applyFill="1" applyBorder="1" applyAlignment="1">
      <alignment horizontal="center" vertical="center"/>
    </xf>
    <xf numFmtId="0" fontId="34" fillId="0" borderId="34" xfId="0" applyNumberFormat="1" applyFont="1" applyFill="1" applyBorder="1" applyAlignment="1">
      <alignment horizontal="center" vertical="center"/>
    </xf>
    <xf numFmtId="0" fontId="34" fillId="0" borderId="33" xfId="0" applyNumberFormat="1" applyFont="1" applyFill="1" applyBorder="1" applyAlignment="1">
      <alignment horizontal="center" vertical="center"/>
    </xf>
    <xf numFmtId="0" fontId="34" fillId="0" borderId="35" xfId="0" applyNumberFormat="1" applyFont="1" applyFill="1" applyBorder="1" applyAlignment="1">
      <alignment horizontal="center" vertical="center"/>
    </xf>
    <xf numFmtId="0" fontId="34" fillId="0" borderId="43" xfId="0" applyNumberFormat="1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43" fontId="30" fillId="0" borderId="39" xfId="1" applyNumberFormat="1" applyFont="1" applyBorder="1" applyAlignment="1">
      <alignment horizontal="center" vertical="center" wrapText="1"/>
    </xf>
    <xf numFmtId="43" fontId="30" fillId="0" borderId="44" xfId="1" applyNumberFormat="1" applyFont="1" applyBorder="1" applyAlignment="1">
      <alignment horizontal="center" vertical="center" wrapText="1"/>
    </xf>
    <xf numFmtId="4" fontId="40" fillId="0" borderId="39" xfId="1" applyNumberFormat="1" applyFont="1" applyBorder="1" applyAlignment="1">
      <alignment horizontal="center" vertical="center" wrapText="1"/>
    </xf>
    <xf numFmtId="4" fontId="40" fillId="0" borderId="44" xfId="1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8" fontId="14" fillId="0" borderId="4" xfId="0" applyNumberFormat="1" applyFont="1" applyFill="1" applyBorder="1" applyAlignment="1">
      <alignment horizontal="center" vertical="center"/>
    </xf>
    <xf numFmtId="168" fontId="14" fillId="0" borderId="0" xfId="0" applyNumberFormat="1" applyFont="1" applyFill="1" applyBorder="1" applyAlignment="1">
      <alignment horizontal="center" vertical="center"/>
    </xf>
    <xf numFmtId="168" fontId="14" fillId="0" borderId="5" xfId="0" applyNumberFormat="1" applyFont="1" applyFill="1" applyBorder="1" applyAlignment="1">
      <alignment horizontal="center" vertical="center"/>
    </xf>
    <xf numFmtId="168" fontId="14" fillId="0" borderId="6" xfId="0" applyNumberFormat="1" applyFont="1" applyFill="1" applyBorder="1" applyAlignment="1">
      <alignment horizontal="center" vertical="center"/>
    </xf>
    <xf numFmtId="168" fontId="14" fillId="0" borderId="7" xfId="0" applyNumberFormat="1" applyFont="1" applyFill="1" applyBorder="1" applyAlignment="1">
      <alignment horizontal="center" vertical="center"/>
    </xf>
    <xf numFmtId="168" fontId="14" fillId="0" borderId="8" xfId="0" applyNumberFormat="1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8" fontId="14" fillId="4" borderId="2" xfId="0" applyNumberFormat="1" applyFont="1" applyFill="1" applyBorder="1" applyAlignment="1">
      <alignment horizontal="center" vertical="center"/>
    </xf>
    <xf numFmtId="168" fontId="14" fillId="4" borderId="3" xfId="0" applyNumberFormat="1" applyFont="1" applyFill="1" applyBorder="1" applyAlignment="1">
      <alignment horizontal="center" vertical="center"/>
    </xf>
    <xf numFmtId="168" fontId="14" fillId="4" borderId="24" xfId="0" applyNumberFormat="1" applyFont="1" applyFill="1" applyBorder="1" applyAlignment="1">
      <alignment horizontal="center" vertical="center"/>
    </xf>
    <xf numFmtId="168" fontId="14" fillId="4" borderId="25" xfId="0" applyNumberFormat="1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/>
    </xf>
    <xf numFmtId="0" fontId="25" fillId="0" borderId="8" xfId="0" applyFont="1" applyFill="1" applyBorder="1" applyAlignment="1">
      <alignment horizontal="center" vertical="center"/>
    </xf>
  </cellXfs>
  <cellStyles count="61">
    <cellStyle name="20% - 强调文字颜色 1" xfId="2"/>
    <cellStyle name="20% - 强调文字颜色 2" xfId="3"/>
    <cellStyle name="20% - 强调文字颜色 3" xfId="4"/>
    <cellStyle name="20% - 强调文字颜色 4" xfId="5"/>
    <cellStyle name="20% - 强调文字颜色 5" xfId="6"/>
    <cellStyle name="20% - 强调文字颜色 6" xfId="7"/>
    <cellStyle name="40% - 强调文字颜色 1" xfId="8"/>
    <cellStyle name="40% - 强调文字颜色 2" xfId="9"/>
    <cellStyle name="40% - 强调文字颜色 3" xfId="10"/>
    <cellStyle name="40% - 强调文字颜色 4" xfId="11"/>
    <cellStyle name="40% - 强调文字颜色 5" xfId="12"/>
    <cellStyle name="40% - 强调文字颜色 6" xfId="13"/>
    <cellStyle name="60% - 强调文字颜色 1" xfId="14"/>
    <cellStyle name="60% - 强调文字颜色 2" xfId="15"/>
    <cellStyle name="60% - 强调文字颜色 3" xfId="16"/>
    <cellStyle name="60% - 强调文字颜色 4" xfId="17"/>
    <cellStyle name="60% - 强调文字颜色 5" xfId="18"/>
    <cellStyle name="60% - 强调文字颜色 6" xfId="19"/>
    <cellStyle name="Comma" xfId="1" builtinId="3"/>
    <cellStyle name="Comma 2" xfId="20"/>
    <cellStyle name="Comma 2 6 2" xfId="21"/>
    <cellStyle name="Comma 2 6 2 2" xfId="22"/>
    <cellStyle name="Normal" xfId="0" builtinId="0"/>
    <cellStyle name="Normal 2" xfId="23"/>
    <cellStyle name="Normal 2 2" xfId="24"/>
    <cellStyle name="Normal 2 2 2" xfId="25"/>
    <cellStyle name="Normal 2 2 3" xfId="26"/>
    <cellStyle name="Normal 2 5 2 2" xfId="27"/>
    <cellStyle name="Normal 3" xfId="28"/>
    <cellStyle name="Normal_Book1" xfId="29"/>
    <cellStyle name="Percent 2" xfId="30"/>
    <cellStyle name="好" xfId="31"/>
    <cellStyle name="好_PEMBAGIAN" xfId="32"/>
    <cellStyle name="差" xfId="33"/>
    <cellStyle name="差_PEMBAGIAN" xfId="34"/>
    <cellStyle name="强调文字颜色 1" xfId="35"/>
    <cellStyle name="强调文字颜色 2" xfId="36"/>
    <cellStyle name="强调文字颜色 3" xfId="37"/>
    <cellStyle name="强调文字颜色 4" xfId="38"/>
    <cellStyle name="强调文字颜色 5" xfId="39"/>
    <cellStyle name="强调文字颜色 6" xfId="40"/>
    <cellStyle name="标题" xfId="41"/>
    <cellStyle name="标题 1" xfId="42"/>
    <cellStyle name="标题 2" xfId="43"/>
    <cellStyle name="标题 3" xfId="44"/>
    <cellStyle name="标题 4" xfId="45"/>
    <cellStyle name="标题_PEMBAGIAN" xfId="46"/>
    <cellStyle name="检查单元格" xfId="47"/>
    <cellStyle name="汇总" xfId="48"/>
    <cellStyle name="汇总 2" xfId="49"/>
    <cellStyle name="注释" xfId="50"/>
    <cellStyle name="注释 2" xfId="51"/>
    <cellStyle name="注释 3" xfId="52"/>
    <cellStyle name="解释性文本" xfId="53"/>
    <cellStyle name="警告文本" xfId="54"/>
    <cellStyle name="计算" xfId="55"/>
    <cellStyle name="输入" xfId="56"/>
    <cellStyle name="输出" xfId="57"/>
    <cellStyle name="输出 2" xfId="58"/>
    <cellStyle name="适中" xfId="59"/>
    <cellStyle name="链接单元格" xfId="6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0"/>
      <color rgb="FFFFFF00"/>
      <color rgb="FF900000"/>
      <color rgb="FFDD0806"/>
      <color rgb="FFBFBFBF"/>
      <color rgb="FFFCD5B4"/>
      <color rgb="FF538DD5"/>
      <color rgb="FFC4D79B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286385</xdr:colOff>
      <xdr:row>19</xdr:row>
      <xdr:rowOff>114300</xdr:rowOff>
    </xdr:from>
    <xdr:to>
      <xdr:col>2</xdr:col>
      <xdr:colOff>1130935</xdr:colOff>
      <xdr:row>20</xdr:row>
      <xdr:rowOff>234315</xdr:rowOff>
    </xdr:to>
    <xdr:pic>
      <xdr:nvPicPr>
        <xdr:cNvPr id="52524" name="Picture 22"/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2833370" y="6422390"/>
          <a:ext cx="2441575" cy="434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168275</xdr:colOff>
      <xdr:row>40</xdr:row>
      <xdr:rowOff>214630</xdr:rowOff>
    </xdr:from>
    <xdr:to>
      <xdr:col>4</xdr:col>
      <xdr:colOff>1007110</xdr:colOff>
      <xdr:row>49</xdr:row>
      <xdr:rowOff>0</xdr:rowOff>
    </xdr:to>
    <xdr:pic>
      <xdr:nvPicPr>
        <xdr:cNvPr id="52525" name="Picture 10"/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6090285" y="13394055"/>
          <a:ext cx="2616835" cy="2117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1024890</xdr:colOff>
      <xdr:row>40</xdr:row>
      <xdr:rowOff>212725</xdr:rowOff>
    </xdr:from>
    <xdr:to>
      <xdr:col>6</xdr:col>
      <xdr:colOff>467995</xdr:colOff>
      <xdr:row>48</xdr:row>
      <xdr:rowOff>224155</xdr:rowOff>
    </xdr:to>
    <xdr:pic>
      <xdr:nvPicPr>
        <xdr:cNvPr id="52526" name="Picture 12"/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8724900" y="13392150"/>
          <a:ext cx="2999105" cy="20840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1374140</xdr:colOff>
      <xdr:row>49</xdr:row>
      <xdr:rowOff>160655</xdr:rowOff>
    </xdr:from>
    <xdr:ext cx="2087245" cy="548005"/>
    <xdr:sp macro="" textlink="">
      <xdr:nvSpPr>
        <xdr:cNvPr id="3" name="TextBox 32"/>
        <xdr:cNvSpPr txBox="1"/>
      </xdr:nvSpPr>
      <xdr:spPr>
        <a:xfrm>
          <a:off x="9074150" y="15671800"/>
          <a:ext cx="2087245" cy="54800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>
    <xdr:from>
      <xdr:col>3</xdr:col>
      <xdr:colOff>114300</xdr:colOff>
      <xdr:row>18</xdr:row>
      <xdr:rowOff>196215</xdr:rowOff>
    </xdr:from>
    <xdr:to>
      <xdr:col>4</xdr:col>
      <xdr:colOff>1612265</xdr:colOff>
      <xdr:row>25</xdr:row>
      <xdr:rowOff>76200</xdr:rowOff>
    </xdr:to>
    <xdr:grpSp>
      <xdr:nvGrpSpPr>
        <xdr:cNvPr id="52528" name="Group 22"/>
        <xdr:cNvGrpSpPr/>
      </xdr:nvGrpSpPr>
      <xdr:grpSpPr>
        <a:xfrm>
          <a:off x="5940425" y="6006465"/>
          <a:ext cx="3244215" cy="2150110"/>
          <a:chOff x="5316681" y="5316683"/>
          <a:chExt cx="3174096" cy="2112818"/>
        </a:xfrm>
      </xdr:grpSpPr>
      <xdr:pic>
        <xdr:nvPicPr>
          <xdr:cNvPr id="52537" name="Picture 18"/>
          <xdr:cNvPicPr>
            <a:picLocks noChangeAspect="1"/>
          </xdr:cNvPicPr>
        </xdr:nvPicPr>
        <xdr:blipFill>
          <a:blip xmlns:r="http://schemas.openxmlformats.org/officeDocument/2006/relationships" r:embed="rId4" cstate="email"/>
          <a:stretch>
            <a:fillRect/>
          </a:stretch>
        </xdr:blipFill>
        <xdr:spPr>
          <a:xfrm>
            <a:off x="5316681" y="5316683"/>
            <a:ext cx="3174096" cy="2112818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4" name="Oval 19"/>
          <xdr:cNvSpPr/>
        </xdr:nvSpPr>
        <xdr:spPr>
          <a:xfrm>
            <a:off x="6172412" y="6322181"/>
            <a:ext cx="1462633" cy="73185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/>
          </a:p>
        </xdr:txBody>
      </xdr:sp>
    </xdr:grpSp>
    <xdr:clientData/>
  </xdr:twoCellAnchor>
  <xdr:twoCellAnchor editAs="oneCell">
    <xdr:from>
      <xdr:col>12</xdr:col>
      <xdr:colOff>313055</xdr:colOff>
      <xdr:row>18</xdr:row>
      <xdr:rowOff>76200</xdr:rowOff>
    </xdr:from>
    <xdr:to>
      <xdr:col>16</xdr:col>
      <xdr:colOff>773430</xdr:colOff>
      <xdr:row>25</xdr:row>
      <xdr:rowOff>203200</xdr:rowOff>
    </xdr:to>
    <xdr:pic>
      <xdr:nvPicPr>
        <xdr:cNvPr id="52529" name="Picture 13"/>
        <xdr:cNvPicPr>
          <a:picLocks noChangeAspect="1"/>
        </xdr:cNvPicPr>
      </xdr:nvPicPr>
      <xdr:blipFill>
        <a:blip xmlns:r="http://schemas.openxmlformats.org/officeDocument/2006/relationships" r:embed="rId5" cstate="email"/>
        <a:stretch>
          <a:fillRect/>
        </a:stretch>
      </xdr:blipFill>
      <xdr:spPr>
        <a:xfrm>
          <a:off x="15144115" y="6022340"/>
          <a:ext cx="3698875" cy="237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494982</xdr:colOff>
      <xdr:row>18</xdr:row>
      <xdr:rowOff>307657</xdr:rowOff>
    </xdr:from>
    <xdr:to>
      <xdr:col>15</xdr:col>
      <xdr:colOff>790257</xdr:colOff>
      <xdr:row>24</xdr:row>
      <xdr:rowOff>40322</xdr:rowOff>
    </xdr:to>
    <xdr:sp macro="" textlink="">
      <xdr:nvSpPr>
        <xdr:cNvPr id="5" name="Oval 46"/>
        <xdr:cNvSpPr/>
      </xdr:nvSpPr>
      <xdr:spPr>
        <a:xfrm rot="17170614">
          <a:off x="16323945" y="6470015"/>
          <a:ext cx="1666240" cy="1232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/>
        </a:p>
      </xdr:txBody>
    </xdr:sp>
    <xdr:clientData/>
  </xdr:twoCellAnchor>
  <xdr:twoCellAnchor editAs="oneCell">
    <xdr:from>
      <xdr:col>5</xdr:col>
      <xdr:colOff>1173480</xdr:colOff>
      <xdr:row>18</xdr:row>
      <xdr:rowOff>120015</xdr:rowOff>
    </xdr:from>
    <xdr:to>
      <xdr:col>8</xdr:col>
      <xdr:colOff>519430</xdr:colOff>
      <xdr:row>23</xdr:row>
      <xdr:rowOff>304800</xdr:rowOff>
    </xdr:to>
    <xdr:pic>
      <xdr:nvPicPr>
        <xdr:cNvPr id="52533" name="Picture 5"/>
        <xdr:cNvPicPr>
          <a:picLocks noChangeAspect="1"/>
        </xdr:cNvPicPr>
      </xdr:nvPicPr>
      <xdr:blipFill>
        <a:blip xmlns:r="http://schemas.openxmlformats.org/officeDocument/2006/relationships" r:embed="rId6" cstate="email"/>
        <a:stretch>
          <a:fillRect/>
        </a:stretch>
      </xdr:blipFill>
      <xdr:spPr>
        <a:xfrm>
          <a:off x="10651490" y="6066155"/>
          <a:ext cx="2268220" cy="1804035"/>
        </a:xfrm>
        <a:prstGeom prst="rect">
          <a:avLst/>
        </a:prstGeom>
        <a:noFill/>
        <a:ln w="1">
          <a:noFill/>
        </a:ln>
      </xdr:spPr>
    </xdr:pic>
    <xdr:clientData/>
  </xdr:twoCellAnchor>
  <xdr:oneCellAnchor>
    <xdr:from>
      <xdr:col>5</xdr:col>
      <xdr:colOff>963295</xdr:colOff>
      <xdr:row>23</xdr:row>
      <xdr:rowOff>299720</xdr:rowOff>
    </xdr:from>
    <xdr:ext cx="2503805" cy="512445"/>
    <xdr:sp macro="" textlink="">
      <xdr:nvSpPr>
        <xdr:cNvPr id="6" name="TextBox 18"/>
        <xdr:cNvSpPr txBox="1"/>
      </xdr:nvSpPr>
      <xdr:spPr>
        <a:xfrm>
          <a:off x="10441305" y="7865110"/>
          <a:ext cx="2503805" cy="5124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>
              <a:solidFill>
                <a:srgbClr val="FFFF00"/>
              </a:solidFill>
            </a:rPr>
            <a:t>PUT PRODUCT TAG INTO SHOE</a:t>
          </a:r>
          <a:r>
            <a:rPr lang="en-US" sz="1200" baseline="0">
              <a:solidFill>
                <a:srgbClr val="FFFF00"/>
              </a:solidFill>
            </a:rPr>
            <a:t> BOX</a:t>
          </a:r>
        </a:p>
      </xdr:txBody>
    </xdr:sp>
    <xdr:clientData/>
  </xdr:oneCellAnchor>
  <xdr:twoCellAnchor editAs="oneCell">
    <xdr:from>
      <xdr:col>0</xdr:col>
      <xdr:colOff>647700</xdr:colOff>
      <xdr:row>40</xdr:row>
      <xdr:rowOff>102870</xdr:rowOff>
    </xdr:from>
    <xdr:to>
      <xdr:col>2</xdr:col>
      <xdr:colOff>606425</xdr:colOff>
      <xdr:row>49</xdr:row>
      <xdr:rowOff>121285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7700" y="13282295"/>
          <a:ext cx="4102735" cy="2350135"/>
        </a:xfrm>
        <a:prstGeom prst="rect">
          <a:avLst/>
        </a:prstGeom>
      </xdr:spPr>
    </xdr:pic>
    <xdr:clientData/>
  </xdr:twoCellAnchor>
  <xdr:twoCellAnchor>
    <xdr:from>
      <xdr:col>1</xdr:col>
      <xdr:colOff>323491</xdr:colOff>
      <xdr:row>23</xdr:row>
      <xdr:rowOff>83867</xdr:rowOff>
    </xdr:from>
    <xdr:to>
      <xdr:col>2</xdr:col>
      <xdr:colOff>1375364</xdr:colOff>
      <xdr:row>25</xdr:row>
      <xdr:rowOff>211402</xdr:rowOff>
    </xdr:to>
    <xdr:sp macro="" textlink="">
      <xdr:nvSpPr>
        <xdr:cNvPr id="14" name="AutoShape 54"/>
        <xdr:cNvSpPr>
          <a:spLocks noChangeArrowheads="1"/>
        </xdr:cNvSpPr>
      </xdr:nvSpPr>
      <xdr:spPr>
        <a:xfrm>
          <a:off x="2870200" y="7649210"/>
          <a:ext cx="2648585" cy="75565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US" sz="1000" b="1">
              <a:effectLst/>
              <a:latin typeface="+mn-lt"/>
              <a:ea typeface="+mn-ea"/>
              <a:cs typeface="+mn-cs"/>
            </a:rPr>
            <a:t>{_alejandro_}</a:t>
          </a:r>
          <a:r>
            <a:rPr lang="en-US" sz="1100" b="1" i="0" u="none" strike="noStrike" baseline="0">
              <a:solidFill>
                <a:srgbClr val="000000"/>
              </a:solidFill>
              <a:latin typeface="Arial" panose="020B0704020202020204"/>
              <a:cs typeface="Arial" panose="020B0704020202020204"/>
            </a:rPr>
            <a:t>
</a:t>
          </a:r>
          <a:endParaRPr lang="en-US" sz="1100" b="0" i="0" u="none" strike="noStrike" baseline="0">
            <a:solidFill>
              <a:srgbClr val="000000"/>
            </a:solidFill>
            <a:latin typeface="Arial" panose="020B0704020202020204"/>
            <a:cs typeface="Arial" panose="020B070402020202020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53"/>
  <sheetViews>
    <sheetView showGridLines="0" tabSelected="1" zoomScale="40" zoomScaleNormal="40" workbookViewId="0">
      <selection activeCell="D5" sqref="D5"/>
    </sheetView>
  </sheetViews>
  <sheetFormatPr defaultColWidth="11.453125" defaultRowHeight="18"/>
  <cols>
    <col min="1" max="1" width="35.81640625" style="2" customWidth="1"/>
    <col min="2" max="2" width="22.453125" style="2" customWidth="1"/>
    <col min="3" max="3" width="25" style="2" customWidth="1"/>
    <col min="4" max="4" width="25" style="3" customWidth="1"/>
    <col min="5" max="6" width="25" style="2" customWidth="1"/>
    <col min="7" max="7" width="7.54296875" style="2" customWidth="1"/>
    <col min="8" max="14" width="8.54296875" style="2" customWidth="1"/>
    <col min="15" max="15" width="13.1796875" style="2" customWidth="1"/>
    <col min="16" max="16" width="15.26953125" style="2" customWidth="1"/>
    <col min="17" max="17" width="15.26953125" style="4" customWidth="1"/>
    <col min="18" max="18" width="15.26953125" style="5" customWidth="1"/>
    <col min="19" max="19" width="20.453125" style="6" customWidth="1"/>
    <col min="20" max="20" width="11.453125" style="7"/>
    <col min="21" max="21" width="15.08984375" style="2" customWidth="1"/>
    <col min="22" max="16384" width="11.453125" style="2"/>
  </cols>
  <sheetData>
    <row r="1" spans="1:22" ht="23">
      <c r="A1" s="142" t="s">
        <v>0</v>
      </c>
      <c r="B1" s="143"/>
      <c r="C1" s="144"/>
      <c r="D1" s="8"/>
      <c r="E1" s="71"/>
      <c r="F1" s="71"/>
      <c r="G1" s="8"/>
      <c r="K1" s="145" t="s">
        <v>1</v>
      </c>
      <c r="L1" s="145"/>
      <c r="M1" s="145"/>
      <c r="N1" s="145"/>
      <c r="O1" s="145"/>
      <c r="P1" s="145"/>
      <c r="Q1" s="146"/>
      <c r="R1" s="85"/>
    </row>
    <row r="2" spans="1:22" ht="24" customHeight="1">
      <c r="A2" s="9" t="s">
        <v>2</v>
      </c>
      <c r="B2" s="10" t="s">
        <v>3</v>
      </c>
      <c r="C2" s="11"/>
      <c r="D2" s="12"/>
      <c r="E2" s="147"/>
      <c r="F2" s="147"/>
      <c r="G2" s="147"/>
      <c r="H2" s="147"/>
      <c r="K2" s="148" t="s">
        <v>4</v>
      </c>
      <c r="L2" s="148"/>
      <c r="M2" s="148"/>
      <c r="N2" s="148"/>
      <c r="O2" s="148"/>
      <c r="P2" s="148"/>
      <c r="Q2" s="149"/>
      <c r="R2" s="86"/>
    </row>
    <row r="3" spans="1:22" ht="24" customHeight="1">
      <c r="A3" s="13"/>
      <c r="B3" s="14"/>
      <c r="C3" s="15"/>
      <c r="E3" s="150" t="s">
        <v>5</v>
      </c>
      <c r="F3" s="150"/>
      <c r="G3" s="150"/>
      <c r="H3" s="150"/>
      <c r="K3" s="151" t="s">
        <v>6</v>
      </c>
      <c r="L3" s="151"/>
      <c r="M3" s="151"/>
      <c r="N3" s="151"/>
      <c r="O3" s="151"/>
      <c r="P3" s="151"/>
      <c r="Q3" s="152"/>
      <c r="R3" s="87"/>
    </row>
    <row r="4" spans="1:22" ht="24" customHeight="1">
      <c r="A4" s="16" t="s">
        <v>7</v>
      </c>
      <c r="B4" s="17" t="s">
        <v>8</v>
      </c>
      <c r="C4" s="18"/>
      <c r="E4" s="153"/>
      <c r="F4" s="153"/>
      <c r="G4" s="153"/>
      <c r="H4" s="153"/>
      <c r="K4" s="154" t="s">
        <v>9</v>
      </c>
      <c r="L4" s="154"/>
      <c r="M4" s="154"/>
      <c r="N4" s="154"/>
      <c r="O4" s="154"/>
      <c r="P4" s="154"/>
      <c r="Q4" s="155"/>
      <c r="R4" s="88"/>
    </row>
    <row r="5" spans="1:22" ht="24" customHeight="1">
      <c r="A5" s="19" t="s">
        <v>10</v>
      </c>
      <c r="B5" s="20" t="s">
        <v>11</v>
      </c>
      <c r="C5" s="21"/>
      <c r="D5" s="22"/>
      <c r="E5" s="153"/>
      <c r="F5" s="153"/>
      <c r="G5" s="153"/>
      <c r="H5" s="153"/>
      <c r="K5" s="154" t="s">
        <v>12</v>
      </c>
      <c r="L5" s="154"/>
      <c r="M5" s="154"/>
      <c r="N5" s="154"/>
      <c r="O5" s="154"/>
      <c r="P5" s="154"/>
      <c r="Q5" s="155"/>
      <c r="R5" s="88"/>
    </row>
    <row r="7" spans="1:22" ht="15.75" customHeight="1">
      <c r="A7" s="197" t="s">
        <v>13</v>
      </c>
      <c r="B7" s="201" t="s">
        <v>14</v>
      </c>
      <c r="C7" s="201" t="s">
        <v>15</v>
      </c>
      <c r="D7" s="201" t="s">
        <v>16</v>
      </c>
      <c r="E7" s="204" t="s">
        <v>17</v>
      </c>
      <c r="F7" s="207" t="s">
        <v>18</v>
      </c>
      <c r="G7" s="245" t="s">
        <v>19</v>
      </c>
      <c r="H7" s="246"/>
      <c r="I7" s="246"/>
      <c r="J7" s="246"/>
      <c r="K7" s="246"/>
      <c r="L7" s="246"/>
      <c r="M7" s="246"/>
      <c r="N7" s="247"/>
      <c r="O7" s="213">
        <v>44</v>
      </c>
      <c r="P7" s="215">
        <v>46</v>
      </c>
      <c r="Q7" s="215">
        <v>48</v>
      </c>
      <c r="R7" s="217">
        <v>50</v>
      </c>
      <c r="S7" s="219" t="s">
        <v>20</v>
      </c>
      <c r="T7" s="221" t="s">
        <v>21</v>
      </c>
      <c r="U7" s="223" t="s">
        <v>22</v>
      </c>
      <c r="V7" s="133"/>
    </row>
    <row r="8" spans="1:22" ht="21" customHeight="1">
      <c r="A8" s="198"/>
      <c r="B8" s="202"/>
      <c r="C8" s="203"/>
      <c r="D8" s="203"/>
      <c r="E8" s="205"/>
      <c r="F8" s="208"/>
      <c r="G8" s="248"/>
      <c r="H8" s="249"/>
      <c r="I8" s="249"/>
      <c r="J8" s="249"/>
      <c r="K8" s="249"/>
      <c r="L8" s="249"/>
      <c r="M8" s="249"/>
      <c r="N8" s="250"/>
      <c r="O8" s="214"/>
      <c r="P8" s="216"/>
      <c r="Q8" s="216"/>
      <c r="R8" s="218"/>
      <c r="S8" s="220"/>
      <c r="T8" s="222"/>
      <c r="U8" s="224"/>
      <c r="V8" s="133"/>
    </row>
    <row r="9" spans="1:22" ht="30">
      <c r="A9" s="199"/>
      <c r="B9" s="23" t="s">
        <v>23</v>
      </c>
      <c r="C9" s="23" t="s">
        <v>24</v>
      </c>
      <c r="D9" s="23" t="s">
        <v>25</v>
      </c>
      <c r="E9" s="206"/>
      <c r="F9" s="209"/>
      <c r="G9" s="251"/>
      <c r="H9" s="252"/>
      <c r="I9" s="252"/>
      <c r="J9" s="252"/>
      <c r="K9" s="252"/>
      <c r="L9" s="252"/>
      <c r="M9" s="252"/>
      <c r="N9" s="253"/>
      <c r="O9" s="93"/>
      <c r="P9" s="94"/>
      <c r="Q9" s="94"/>
      <c r="R9" s="106"/>
      <c r="S9" s="107" t="s">
        <v>26</v>
      </c>
      <c r="T9" s="108" t="s">
        <v>27</v>
      </c>
      <c r="U9" s="134" t="s">
        <v>27</v>
      </c>
      <c r="V9" s="133"/>
    </row>
    <row r="10" spans="1:22" s="1" customFormat="1" ht="27.75" customHeight="1">
      <c r="A10" s="200"/>
      <c r="B10" s="24"/>
      <c r="C10" s="25"/>
      <c r="D10" s="26"/>
      <c r="E10" s="72"/>
      <c r="F10" s="73" t="s">
        <v>28</v>
      </c>
      <c r="G10" s="210" t="s">
        <v>29</v>
      </c>
      <c r="H10" s="258" t="s">
        <v>30</v>
      </c>
      <c r="I10" s="259"/>
      <c r="J10" s="259"/>
      <c r="K10" s="259"/>
      <c r="L10" s="259"/>
      <c r="M10" s="259"/>
      <c r="N10" s="260"/>
      <c r="O10" s="95"/>
      <c r="P10" s="96"/>
      <c r="Q10" s="96"/>
      <c r="R10" s="109"/>
      <c r="S10" s="110">
        <f>SUM(O10:R10)</f>
        <v>0</v>
      </c>
      <c r="T10" s="111">
        <v>0</v>
      </c>
      <c r="U10" s="135">
        <f>T10*S10</f>
        <v>0</v>
      </c>
      <c r="V10" s="133"/>
    </row>
    <row r="11" spans="1:22" s="1" customFormat="1" ht="27.75" customHeight="1">
      <c r="A11" s="200"/>
      <c r="B11" s="27"/>
      <c r="C11" s="28"/>
      <c r="D11" s="29"/>
      <c r="E11" s="72"/>
      <c r="F11" s="73" t="s">
        <v>28</v>
      </c>
      <c r="G11" s="211"/>
      <c r="H11" s="258"/>
      <c r="I11" s="259"/>
      <c r="J11" s="259"/>
      <c r="K11" s="259"/>
      <c r="L11" s="259"/>
      <c r="M11" s="259"/>
      <c r="N11" s="260"/>
      <c r="O11" s="95"/>
      <c r="P11" s="96"/>
      <c r="Q11" s="96"/>
      <c r="R11" s="109"/>
      <c r="S11" s="110">
        <f t="shared" ref="S11:S12" si="0">SUM(O11:R11)</f>
        <v>0</v>
      </c>
      <c r="T11" s="111">
        <v>0</v>
      </c>
      <c r="U11" s="136">
        <f>T11*O11</f>
        <v>0</v>
      </c>
      <c r="V11" s="133"/>
    </row>
    <row r="12" spans="1:22" s="1" customFormat="1" ht="27.75" customHeight="1">
      <c r="A12" s="30" t="s">
        <v>31</v>
      </c>
      <c r="B12" s="27"/>
      <c r="C12" s="25"/>
      <c r="D12" s="26"/>
      <c r="E12" s="72"/>
      <c r="F12" s="73" t="s">
        <v>28</v>
      </c>
      <c r="G12" s="211"/>
      <c r="H12" s="258"/>
      <c r="I12" s="259"/>
      <c r="J12" s="259"/>
      <c r="K12" s="259"/>
      <c r="L12" s="259"/>
      <c r="M12" s="259"/>
      <c r="N12" s="260"/>
      <c r="O12" s="95"/>
      <c r="P12" s="96"/>
      <c r="Q12" s="96"/>
      <c r="R12" s="109"/>
      <c r="S12" s="110">
        <f t="shared" si="0"/>
        <v>0</v>
      </c>
      <c r="T12" s="111">
        <v>0</v>
      </c>
      <c r="U12" s="136">
        <f>T12*O12</f>
        <v>0</v>
      </c>
      <c r="V12" s="133"/>
    </row>
    <row r="13" spans="1:22" s="1" customFormat="1" ht="27.75" customHeight="1">
      <c r="A13" s="31" t="s">
        <v>32</v>
      </c>
      <c r="B13" s="27"/>
      <c r="C13" s="28"/>
      <c r="D13" s="29"/>
      <c r="E13" s="72"/>
      <c r="F13" s="73"/>
      <c r="G13" s="211"/>
      <c r="H13" s="258"/>
      <c r="I13" s="259"/>
      <c r="J13" s="259"/>
      <c r="K13" s="259"/>
      <c r="L13" s="259"/>
      <c r="M13" s="259"/>
      <c r="N13" s="260"/>
      <c r="O13" s="95"/>
      <c r="P13" s="96"/>
      <c r="Q13" s="96"/>
      <c r="R13" s="109"/>
      <c r="S13" s="112"/>
      <c r="T13" s="111"/>
      <c r="U13" s="136"/>
      <c r="V13" s="133"/>
    </row>
    <row r="14" spans="1:22" s="1" customFormat="1" ht="27.75" customHeight="1">
      <c r="A14" s="32"/>
      <c r="B14" s="27"/>
      <c r="C14" s="28"/>
      <c r="D14" s="29"/>
      <c r="E14" s="72"/>
      <c r="F14" s="73"/>
      <c r="G14" s="211"/>
      <c r="H14" s="258"/>
      <c r="I14" s="259"/>
      <c r="J14" s="259"/>
      <c r="K14" s="259"/>
      <c r="L14" s="259"/>
      <c r="M14" s="259"/>
      <c r="N14" s="260"/>
      <c r="O14" s="95"/>
      <c r="P14" s="96"/>
      <c r="Q14" s="96"/>
      <c r="R14" s="109"/>
      <c r="S14" s="112"/>
      <c r="T14" s="111"/>
      <c r="U14" s="136"/>
      <c r="V14" s="133"/>
    </row>
    <row r="15" spans="1:22" s="1" customFormat="1" ht="27.75" customHeight="1">
      <c r="A15" s="33"/>
      <c r="B15" s="34"/>
      <c r="C15" s="34"/>
      <c r="D15" s="35"/>
      <c r="E15" s="74"/>
      <c r="F15" s="75"/>
      <c r="G15" s="212"/>
      <c r="H15" s="261"/>
      <c r="I15" s="262"/>
      <c r="J15" s="262"/>
      <c r="K15" s="262"/>
      <c r="L15" s="262"/>
      <c r="M15" s="262"/>
      <c r="N15" s="263"/>
      <c r="O15" s="95"/>
      <c r="P15" s="96"/>
      <c r="Q15" s="96"/>
      <c r="R15" s="109"/>
      <c r="S15" s="113"/>
      <c r="T15" s="111"/>
      <c r="U15" s="137"/>
      <c r="V15" s="133"/>
    </row>
    <row r="16" spans="1:22" s="1" customFormat="1" ht="27.75" customHeight="1">
      <c r="A16" s="36"/>
      <c r="B16" s="36"/>
      <c r="C16" s="36"/>
      <c r="D16" s="36"/>
      <c r="E16" s="37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114">
        <f>SUM(S10:S15)</f>
        <v>0</v>
      </c>
      <c r="T16" s="115"/>
      <c r="U16" s="138">
        <f>SUM(U10:U15)</f>
        <v>0</v>
      </c>
      <c r="V16" s="139"/>
    </row>
    <row r="17" spans="1:23" ht="27.75" customHeight="1">
      <c r="A17" s="36"/>
      <c r="B17" s="36"/>
      <c r="C17" s="36"/>
      <c r="D17" s="37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79"/>
      <c r="P17" s="97"/>
      <c r="Q17" s="116"/>
      <c r="R17" s="97"/>
      <c r="S17" s="97"/>
      <c r="T17" s="117"/>
      <c r="U17" s="36"/>
    </row>
    <row r="18" spans="1:23" ht="36.75" customHeight="1">
      <c r="A18" s="38" t="s">
        <v>33</v>
      </c>
      <c r="B18" s="254"/>
      <c r="C18" s="255"/>
      <c r="D18" s="156" t="s">
        <v>34</v>
      </c>
      <c r="E18" s="157"/>
      <c r="F18" s="156" t="s">
        <v>35</v>
      </c>
      <c r="G18" s="158"/>
      <c r="H18" s="158"/>
      <c r="I18" s="158"/>
      <c r="J18" s="158"/>
      <c r="K18" s="157"/>
      <c r="L18" s="159" t="s">
        <v>36</v>
      </c>
      <c r="M18" s="160"/>
      <c r="N18" s="160"/>
      <c r="O18" s="160"/>
      <c r="P18" s="160"/>
      <c r="Q18" s="161"/>
      <c r="T18" s="118"/>
      <c r="U18" s="125"/>
    </row>
    <row r="19" spans="1:23" ht="28.5" customHeight="1">
      <c r="A19" s="39" t="s">
        <v>37</v>
      </c>
      <c r="B19" s="256"/>
      <c r="C19" s="257"/>
      <c r="D19" s="40"/>
      <c r="E19" s="76"/>
      <c r="F19" s="235"/>
      <c r="G19" s="236"/>
      <c r="H19" s="236"/>
      <c r="I19" s="236"/>
      <c r="J19" s="236"/>
      <c r="K19" s="237"/>
      <c r="L19" s="89"/>
      <c r="M19" s="98"/>
      <c r="N19" s="98"/>
      <c r="O19" s="98"/>
      <c r="P19" s="98"/>
      <c r="Q19" s="119"/>
      <c r="T19" s="120"/>
      <c r="U19" s="126"/>
      <c r="V19" s="36"/>
    </row>
    <row r="20" spans="1:23" ht="24.75" customHeight="1">
      <c r="A20" s="41" t="s">
        <v>38</v>
      </c>
      <c r="B20" s="241"/>
      <c r="C20" s="242"/>
      <c r="D20" s="42"/>
      <c r="E20" s="77"/>
      <c r="F20" s="235"/>
      <c r="G20" s="236"/>
      <c r="H20" s="236"/>
      <c r="I20" s="236"/>
      <c r="J20" s="236"/>
      <c r="K20" s="237"/>
      <c r="L20" s="90"/>
      <c r="M20" s="99"/>
      <c r="N20" s="99"/>
      <c r="O20" s="99"/>
      <c r="P20" s="100"/>
      <c r="Q20" s="121"/>
      <c r="T20" s="118"/>
      <c r="U20" s="125"/>
      <c r="V20" s="36"/>
      <c r="W20" s="36"/>
    </row>
    <row r="21" spans="1:23" ht="24.75" customHeight="1">
      <c r="A21" s="43" t="s">
        <v>39</v>
      </c>
      <c r="B21" s="243"/>
      <c r="C21" s="244"/>
      <c r="D21" s="42"/>
      <c r="E21" s="77"/>
      <c r="F21" s="235"/>
      <c r="G21" s="236"/>
      <c r="H21" s="236"/>
      <c r="I21" s="236"/>
      <c r="J21" s="236"/>
      <c r="K21" s="237"/>
      <c r="L21" s="91"/>
      <c r="M21" s="101"/>
      <c r="N21" s="101"/>
      <c r="O21" s="101"/>
      <c r="P21" s="102"/>
      <c r="Q21" s="121"/>
      <c r="T21" s="122"/>
      <c r="U21" s="125"/>
      <c r="V21" s="140"/>
      <c r="W21" s="140"/>
    </row>
    <row r="22" spans="1:23" ht="24.75" customHeight="1">
      <c r="A22" s="44" t="s">
        <v>40</v>
      </c>
      <c r="B22" s="231" t="s">
        <v>41</v>
      </c>
      <c r="C22" s="232"/>
      <c r="D22" s="45"/>
      <c r="E22" s="77"/>
      <c r="F22" s="235"/>
      <c r="G22" s="236"/>
      <c r="H22" s="236"/>
      <c r="I22" s="236"/>
      <c r="J22" s="236"/>
      <c r="K22" s="237"/>
      <c r="L22" s="91"/>
      <c r="M22" s="101"/>
      <c r="N22" s="101"/>
      <c r="O22" s="101"/>
      <c r="P22" s="102"/>
      <c r="Q22" s="121"/>
      <c r="T22" s="122"/>
      <c r="U22" s="125"/>
      <c r="V22" s="140"/>
      <c r="W22" s="140"/>
    </row>
    <row r="23" spans="1:23" ht="24.75" customHeight="1">
      <c r="A23" s="46"/>
      <c r="B23" s="233"/>
      <c r="C23" s="234"/>
      <c r="D23" s="45"/>
      <c r="E23" s="77"/>
      <c r="F23" s="235"/>
      <c r="G23" s="236"/>
      <c r="H23" s="236"/>
      <c r="I23" s="236"/>
      <c r="J23" s="236"/>
      <c r="K23" s="237"/>
      <c r="L23" s="91"/>
      <c r="M23" s="101"/>
      <c r="N23" s="101"/>
      <c r="O23" s="101"/>
      <c r="P23" s="102"/>
      <c r="Q23" s="121"/>
      <c r="T23" s="122"/>
      <c r="U23" s="125"/>
      <c r="V23" s="140"/>
      <c r="W23" s="140"/>
    </row>
    <row r="24" spans="1:23" ht="24.75" customHeight="1">
      <c r="A24" s="47" t="s">
        <v>42</v>
      </c>
      <c r="B24" s="48"/>
      <c r="C24" s="49"/>
      <c r="D24" s="42"/>
      <c r="E24" s="77"/>
      <c r="F24" s="235"/>
      <c r="G24" s="236"/>
      <c r="H24" s="236"/>
      <c r="I24" s="236"/>
      <c r="J24" s="236"/>
      <c r="K24" s="237"/>
      <c r="L24" s="91"/>
      <c r="M24" s="101"/>
      <c r="N24" s="101"/>
      <c r="O24" s="101"/>
      <c r="P24" s="102"/>
      <c r="Q24" s="121"/>
      <c r="T24" s="122"/>
      <c r="U24" s="129"/>
      <c r="V24" s="140"/>
      <c r="W24" s="140"/>
    </row>
    <row r="25" spans="1:23" ht="24.75" customHeight="1">
      <c r="A25" s="50" t="s">
        <v>43</v>
      </c>
      <c r="B25" s="51"/>
      <c r="C25" s="52"/>
      <c r="D25" s="53"/>
      <c r="E25" s="77"/>
      <c r="F25" s="235"/>
      <c r="G25" s="236"/>
      <c r="H25" s="236"/>
      <c r="I25" s="236"/>
      <c r="J25" s="236"/>
      <c r="K25" s="237"/>
      <c r="L25" s="91"/>
      <c r="M25" s="101"/>
      <c r="N25" s="101"/>
      <c r="O25" s="101"/>
      <c r="P25" s="102"/>
      <c r="Q25" s="121"/>
      <c r="T25" s="122"/>
      <c r="U25" s="129"/>
      <c r="V25" s="140"/>
      <c r="W25" s="140"/>
    </row>
    <row r="26" spans="1:23" ht="24.75" customHeight="1">
      <c r="A26" s="54"/>
      <c r="B26" s="55"/>
      <c r="C26" s="56"/>
      <c r="D26" s="57"/>
      <c r="E26" s="78"/>
      <c r="F26" s="238"/>
      <c r="G26" s="239"/>
      <c r="H26" s="239"/>
      <c r="I26" s="239"/>
      <c r="J26" s="239"/>
      <c r="K26" s="240"/>
      <c r="L26" s="92"/>
      <c r="M26" s="103"/>
      <c r="N26" s="103"/>
      <c r="O26" s="103"/>
      <c r="P26" s="103"/>
      <c r="Q26" s="123"/>
      <c r="T26" s="122"/>
      <c r="U26" s="129"/>
      <c r="V26" s="141"/>
      <c r="W26" s="141"/>
    </row>
    <row r="27" spans="1:23" ht="24.75" customHeight="1">
      <c r="A27" s="58"/>
      <c r="B27" s="59"/>
      <c r="C27" s="59"/>
      <c r="D27" s="60"/>
      <c r="E27" s="36"/>
      <c r="F27" s="36"/>
      <c r="G27" s="36"/>
      <c r="H27" s="79"/>
      <c r="I27" s="79"/>
      <c r="J27" s="36"/>
      <c r="K27" s="36"/>
      <c r="L27" s="36"/>
      <c r="M27" s="36"/>
      <c r="N27" s="36"/>
      <c r="O27" s="104"/>
      <c r="P27" s="104"/>
      <c r="Q27" s="124"/>
      <c r="R27" s="104"/>
      <c r="S27" s="104"/>
      <c r="T27" s="104"/>
      <c r="U27" s="126"/>
      <c r="V27" s="36"/>
    </row>
    <row r="28" spans="1:23" ht="28.5" customHeight="1">
      <c r="A28" s="162" t="s">
        <v>44</v>
      </c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4"/>
      <c r="R28" s="118"/>
      <c r="S28" s="125"/>
    </row>
    <row r="29" spans="1:23" ht="36.75" customHeight="1">
      <c r="A29" s="165">
        <f>C10</f>
        <v>0</v>
      </c>
      <c r="B29" s="166"/>
      <c r="C29" s="166"/>
      <c r="D29" s="166"/>
      <c r="E29" s="166"/>
      <c r="F29" s="166"/>
      <c r="G29" s="166"/>
      <c r="H29" s="167"/>
      <c r="I29" s="167"/>
      <c r="J29" s="167"/>
      <c r="K29" s="167"/>
      <c r="L29" s="167"/>
      <c r="M29" s="167"/>
      <c r="N29" s="167"/>
      <c r="O29" s="167"/>
      <c r="P29" s="167"/>
      <c r="Q29" s="168"/>
      <c r="R29" s="120"/>
      <c r="S29" s="126"/>
    </row>
    <row r="30" spans="1:23" ht="24.75" customHeight="1">
      <c r="A30" s="225"/>
      <c r="B30" s="226"/>
      <c r="C30" s="225"/>
      <c r="D30" s="226"/>
      <c r="E30" s="225"/>
      <c r="F30" s="227"/>
      <c r="G30" s="227"/>
      <c r="H30" s="228"/>
      <c r="I30" s="229"/>
      <c r="J30" s="229"/>
      <c r="K30" s="229"/>
      <c r="L30" s="229"/>
      <c r="M30" s="229"/>
      <c r="N30" s="230"/>
      <c r="O30" s="80"/>
      <c r="P30" s="80"/>
      <c r="Q30" s="127"/>
      <c r="R30" s="118"/>
      <c r="S30" s="125"/>
    </row>
    <row r="31" spans="1:23" ht="24.75" customHeight="1">
      <c r="A31" s="225"/>
      <c r="B31" s="226"/>
      <c r="C31" s="225"/>
      <c r="D31" s="226"/>
      <c r="E31" s="225"/>
      <c r="F31" s="227"/>
      <c r="G31" s="227"/>
      <c r="H31" s="225"/>
      <c r="I31" s="227"/>
      <c r="J31" s="227"/>
      <c r="K31" s="227"/>
      <c r="L31" s="227"/>
      <c r="M31" s="227"/>
      <c r="N31" s="226"/>
      <c r="O31" s="61"/>
      <c r="P31" s="61"/>
      <c r="Q31" s="128"/>
      <c r="R31" s="122"/>
      <c r="S31" s="125"/>
    </row>
    <row r="32" spans="1:23" ht="24.75" customHeight="1">
      <c r="A32" s="225"/>
      <c r="B32" s="226"/>
      <c r="C32" s="225"/>
      <c r="D32" s="226"/>
      <c r="E32" s="225"/>
      <c r="F32" s="227"/>
      <c r="G32" s="227"/>
      <c r="H32" s="225"/>
      <c r="I32" s="227"/>
      <c r="J32" s="227"/>
      <c r="K32" s="227"/>
      <c r="L32" s="227"/>
      <c r="M32" s="227"/>
      <c r="N32" s="226"/>
      <c r="O32" s="61"/>
      <c r="P32" s="61"/>
      <c r="Q32" s="128"/>
      <c r="R32" s="122"/>
      <c r="S32" s="125"/>
    </row>
    <row r="33" spans="1:19" ht="24.75" customHeight="1">
      <c r="A33" s="225"/>
      <c r="B33" s="226"/>
      <c r="C33" s="225"/>
      <c r="D33" s="226"/>
      <c r="E33" s="225"/>
      <c r="F33" s="227"/>
      <c r="G33" s="227"/>
      <c r="H33" s="225"/>
      <c r="I33" s="227"/>
      <c r="J33" s="227"/>
      <c r="K33" s="227"/>
      <c r="L33" s="227"/>
      <c r="M33" s="227"/>
      <c r="N33" s="226"/>
      <c r="O33" s="61"/>
      <c r="P33" s="61"/>
      <c r="Q33" s="128"/>
      <c r="R33" s="122"/>
      <c r="S33" s="125"/>
    </row>
    <row r="34" spans="1:19" ht="28.5" customHeight="1">
      <c r="A34" s="225"/>
      <c r="B34" s="226"/>
      <c r="C34" s="225"/>
      <c r="D34" s="226"/>
      <c r="E34" s="225"/>
      <c r="F34" s="227"/>
      <c r="G34" s="227"/>
      <c r="H34" s="225"/>
      <c r="I34" s="227"/>
      <c r="J34" s="227"/>
      <c r="K34" s="227"/>
      <c r="L34" s="227"/>
      <c r="M34" s="227"/>
      <c r="N34" s="226"/>
      <c r="O34" s="61"/>
      <c r="P34" s="61"/>
      <c r="Q34" s="128"/>
      <c r="R34" s="122"/>
      <c r="S34" s="129"/>
    </row>
    <row r="35" spans="1:19" ht="24.75" customHeight="1">
      <c r="A35" s="225"/>
      <c r="B35" s="226"/>
      <c r="C35" s="225"/>
      <c r="D35" s="226"/>
      <c r="E35" s="225"/>
      <c r="F35" s="227"/>
      <c r="G35" s="227"/>
      <c r="H35" s="225"/>
      <c r="I35" s="227"/>
      <c r="J35" s="227"/>
      <c r="K35" s="227"/>
      <c r="L35" s="227"/>
      <c r="M35" s="227"/>
      <c r="N35" s="226"/>
      <c r="O35" s="61"/>
      <c r="P35" s="61"/>
      <c r="Q35" s="128"/>
      <c r="R35" s="122"/>
      <c r="S35" s="129"/>
    </row>
    <row r="36" spans="1:19" ht="24.75" customHeight="1">
      <c r="A36" s="225"/>
      <c r="B36" s="226"/>
      <c r="C36" s="225"/>
      <c r="D36" s="226"/>
      <c r="E36" s="225"/>
      <c r="F36" s="227"/>
      <c r="G36" s="227"/>
      <c r="H36" s="225"/>
      <c r="I36" s="227"/>
      <c r="J36" s="227"/>
      <c r="K36" s="227"/>
      <c r="L36" s="227"/>
      <c r="M36" s="227"/>
      <c r="N36" s="226"/>
      <c r="O36" s="61"/>
      <c r="P36" s="61"/>
      <c r="Q36" s="128"/>
      <c r="R36" s="122"/>
      <c r="S36" s="129"/>
    </row>
    <row r="37" spans="1:19" ht="24" customHeight="1">
      <c r="A37" s="225"/>
      <c r="B37" s="226"/>
      <c r="C37" s="225"/>
      <c r="D37" s="226"/>
      <c r="E37" s="225"/>
      <c r="F37" s="227"/>
      <c r="G37" s="227"/>
      <c r="H37" s="225"/>
      <c r="I37" s="227"/>
      <c r="J37" s="227"/>
      <c r="K37" s="227"/>
      <c r="L37" s="227"/>
      <c r="M37" s="227"/>
      <c r="N37" s="226"/>
      <c r="O37" s="61"/>
      <c r="P37" s="61"/>
      <c r="Q37" s="128"/>
      <c r="R37" s="104"/>
      <c r="S37" s="126"/>
    </row>
    <row r="38" spans="1:19" ht="36" customHeight="1">
      <c r="A38" s="169">
        <v>0</v>
      </c>
      <c r="B38" s="170"/>
      <c r="C38" s="169">
        <f>E11</f>
        <v>0</v>
      </c>
      <c r="D38" s="170"/>
      <c r="E38" s="169">
        <f>E12</f>
        <v>0</v>
      </c>
      <c r="F38" s="171"/>
      <c r="G38" s="171"/>
      <c r="H38" s="169">
        <f>E13</f>
        <v>0</v>
      </c>
      <c r="I38" s="171"/>
      <c r="J38" s="171"/>
      <c r="K38" s="171"/>
      <c r="L38" s="171"/>
      <c r="M38" s="171"/>
      <c r="N38" s="170"/>
      <c r="O38" s="105"/>
      <c r="P38" s="105"/>
      <c r="Q38" s="130"/>
      <c r="R38" s="2"/>
      <c r="S38" s="2"/>
    </row>
    <row r="39" spans="1:19" ht="19">
      <c r="A39" s="172" t="s">
        <v>45</v>
      </c>
      <c r="B39" s="173"/>
      <c r="C39" s="173"/>
      <c r="D39" s="173"/>
      <c r="E39" s="173"/>
      <c r="F39" s="173"/>
      <c r="G39" s="174"/>
      <c r="H39" s="175" t="s">
        <v>46</v>
      </c>
      <c r="I39" s="176"/>
      <c r="J39" s="176"/>
      <c r="K39" s="176"/>
      <c r="L39" s="177"/>
      <c r="M39" s="177"/>
      <c r="N39" s="177"/>
      <c r="O39" s="177"/>
      <c r="P39" s="177"/>
      <c r="Q39" s="131"/>
    </row>
    <row r="40" spans="1:19">
      <c r="A40" s="178"/>
      <c r="B40" s="179"/>
      <c r="C40" s="179"/>
      <c r="D40" s="179"/>
      <c r="E40" s="179"/>
      <c r="F40" s="179"/>
      <c r="G40" s="180"/>
      <c r="H40" s="181" t="s">
        <v>47</v>
      </c>
      <c r="I40" s="182"/>
      <c r="J40" s="182"/>
      <c r="K40" s="182"/>
      <c r="L40" s="183"/>
      <c r="M40" s="183"/>
      <c r="N40" s="183"/>
      <c r="O40" s="183"/>
      <c r="P40" s="183"/>
      <c r="Q40" s="132"/>
    </row>
    <row r="41" spans="1:19" ht="19">
      <c r="A41" s="42"/>
      <c r="B41" s="61"/>
      <c r="C41" s="62"/>
      <c r="D41" s="63"/>
      <c r="E41" s="80"/>
      <c r="F41" s="81"/>
      <c r="G41" s="76"/>
      <c r="H41" s="184" t="s">
        <v>48</v>
      </c>
      <c r="I41" s="185"/>
      <c r="J41" s="185"/>
      <c r="K41" s="185"/>
      <c r="L41" s="185"/>
      <c r="M41" s="185"/>
      <c r="N41" s="185"/>
      <c r="O41" s="185"/>
      <c r="P41" s="185"/>
      <c r="Q41" s="186"/>
    </row>
    <row r="42" spans="1:19" ht="19">
      <c r="A42" s="42"/>
      <c r="B42" s="61"/>
      <c r="C42" s="61"/>
      <c r="D42" s="42"/>
      <c r="E42" s="61"/>
      <c r="F42" s="82"/>
      <c r="G42" s="77"/>
      <c r="H42" s="187" t="s">
        <v>49</v>
      </c>
      <c r="I42" s="188"/>
      <c r="J42" s="188"/>
      <c r="K42" s="188"/>
      <c r="L42" s="188"/>
      <c r="M42" s="188"/>
      <c r="N42" s="188"/>
      <c r="O42" s="188"/>
      <c r="P42" s="188"/>
      <c r="Q42" s="189"/>
    </row>
    <row r="43" spans="1:19" ht="19">
      <c r="A43" s="42"/>
      <c r="B43" s="61"/>
      <c r="C43" s="61"/>
      <c r="D43" s="42"/>
      <c r="E43" s="61"/>
      <c r="F43" s="82"/>
      <c r="G43" s="77"/>
      <c r="H43" s="190" t="s">
        <v>50</v>
      </c>
      <c r="I43" s="188"/>
      <c r="J43" s="188"/>
      <c r="K43" s="188"/>
      <c r="L43" s="188"/>
      <c r="M43" s="188"/>
      <c r="N43" s="188"/>
      <c r="O43" s="188"/>
      <c r="P43" s="188"/>
      <c r="Q43" s="189"/>
    </row>
    <row r="44" spans="1:19" ht="19">
      <c r="A44" s="42"/>
      <c r="B44" s="61"/>
      <c r="C44" s="61"/>
      <c r="D44" s="42"/>
      <c r="E44" s="61"/>
      <c r="F44" s="82"/>
      <c r="G44" s="77"/>
      <c r="H44" s="187" t="s">
        <v>51</v>
      </c>
      <c r="I44" s="188"/>
      <c r="J44" s="188"/>
      <c r="K44" s="188"/>
      <c r="L44" s="188"/>
      <c r="M44" s="188"/>
      <c r="N44" s="188"/>
      <c r="O44" s="188"/>
      <c r="P44" s="188"/>
      <c r="Q44" s="189"/>
    </row>
    <row r="45" spans="1:19" ht="19">
      <c r="A45" s="42"/>
      <c r="B45" s="61"/>
      <c r="C45" s="64"/>
      <c r="D45" s="65"/>
      <c r="E45" s="61"/>
      <c r="F45" s="61"/>
      <c r="G45" s="77"/>
      <c r="H45" s="190"/>
      <c r="I45" s="188"/>
      <c r="J45" s="188"/>
      <c r="K45" s="188"/>
      <c r="L45" s="188"/>
      <c r="M45" s="188"/>
      <c r="N45" s="188"/>
      <c r="O45" s="188"/>
      <c r="P45" s="188"/>
      <c r="Q45" s="189"/>
    </row>
    <row r="46" spans="1:19" ht="19">
      <c r="A46" s="42"/>
      <c r="B46" s="61"/>
      <c r="C46" s="66"/>
      <c r="D46" s="67"/>
      <c r="E46" s="61"/>
      <c r="F46" s="61"/>
      <c r="G46" s="77"/>
      <c r="H46" s="187"/>
      <c r="I46" s="188"/>
      <c r="J46" s="188"/>
      <c r="K46" s="188"/>
      <c r="L46" s="188"/>
      <c r="M46" s="188"/>
      <c r="N46" s="188"/>
      <c r="O46" s="188"/>
      <c r="P46" s="188"/>
      <c r="Q46" s="189"/>
    </row>
    <row r="47" spans="1:19" ht="19">
      <c r="A47" s="42"/>
      <c r="B47" s="61"/>
      <c r="C47" s="66"/>
      <c r="D47" s="67"/>
      <c r="E47" s="61"/>
      <c r="F47" s="61"/>
      <c r="G47" s="77"/>
      <c r="H47" s="190"/>
      <c r="I47" s="188"/>
      <c r="J47" s="188"/>
      <c r="K47" s="188"/>
      <c r="L47" s="188"/>
      <c r="M47" s="188"/>
      <c r="N47" s="188"/>
      <c r="O47" s="188"/>
      <c r="P47" s="188"/>
      <c r="Q47" s="189"/>
    </row>
    <row r="48" spans="1:19" ht="19">
      <c r="A48" s="42"/>
      <c r="B48" s="61"/>
      <c r="C48" s="66"/>
      <c r="D48" s="67"/>
      <c r="E48" s="61"/>
      <c r="F48" s="61"/>
      <c r="G48" s="77"/>
      <c r="H48" s="190"/>
      <c r="I48" s="188"/>
      <c r="J48" s="188"/>
      <c r="K48" s="188"/>
      <c r="L48" s="188"/>
      <c r="M48" s="188"/>
      <c r="N48" s="188"/>
      <c r="O48" s="188"/>
      <c r="P48" s="188"/>
      <c r="Q48" s="189"/>
    </row>
    <row r="49" spans="1:17" ht="19">
      <c r="A49" s="42"/>
      <c r="B49" s="61"/>
      <c r="C49" s="66"/>
      <c r="D49" s="67"/>
      <c r="E49" s="61"/>
      <c r="F49" s="61"/>
      <c r="G49" s="77"/>
      <c r="H49" s="190"/>
      <c r="I49" s="188"/>
      <c r="J49" s="188"/>
      <c r="K49" s="188"/>
      <c r="L49" s="188"/>
      <c r="M49" s="188"/>
      <c r="N49" s="188"/>
      <c r="O49" s="188"/>
      <c r="P49" s="188"/>
      <c r="Q49" s="189"/>
    </row>
    <row r="50" spans="1:17" ht="19">
      <c r="A50" s="42"/>
      <c r="B50" s="61"/>
      <c r="C50" s="66"/>
      <c r="D50" s="67"/>
      <c r="E50" s="61"/>
      <c r="F50" s="61"/>
      <c r="G50" s="77"/>
      <c r="H50" s="190"/>
      <c r="I50" s="188"/>
      <c r="J50" s="188"/>
      <c r="K50" s="188"/>
      <c r="L50" s="188"/>
      <c r="M50" s="188"/>
      <c r="N50" s="188"/>
      <c r="O50" s="188"/>
      <c r="P50" s="188"/>
      <c r="Q50" s="189"/>
    </row>
    <row r="51" spans="1:17" ht="19">
      <c r="A51" s="191" t="s">
        <v>52</v>
      </c>
      <c r="B51" s="192"/>
      <c r="C51" s="193"/>
      <c r="D51" s="67"/>
      <c r="E51" s="61"/>
      <c r="F51" s="61"/>
      <c r="G51" s="77"/>
      <c r="H51" s="190"/>
      <c r="I51" s="188"/>
      <c r="J51" s="188"/>
      <c r="K51" s="188"/>
      <c r="L51" s="188"/>
      <c r="M51" s="188"/>
      <c r="N51" s="188"/>
      <c r="O51" s="188"/>
      <c r="P51" s="188"/>
      <c r="Q51" s="189"/>
    </row>
    <row r="52" spans="1:17" ht="19">
      <c r="A52" s="42"/>
      <c r="B52" s="61"/>
      <c r="C52" s="66"/>
      <c r="D52" s="67"/>
      <c r="E52" s="61"/>
      <c r="F52" s="61"/>
      <c r="G52" s="77"/>
      <c r="H52" s="190"/>
      <c r="I52" s="188"/>
      <c r="J52" s="188"/>
      <c r="K52" s="188"/>
      <c r="L52" s="188"/>
      <c r="M52" s="188"/>
      <c r="N52" s="188"/>
      <c r="O52" s="188"/>
      <c r="P52" s="188"/>
      <c r="Q52" s="189"/>
    </row>
    <row r="53" spans="1:17" ht="19">
      <c r="A53" s="68"/>
      <c r="B53" s="69"/>
      <c r="C53" s="70"/>
      <c r="D53" s="57"/>
      <c r="E53" s="83"/>
      <c r="F53" s="84"/>
      <c r="G53" s="78"/>
      <c r="H53" s="194"/>
      <c r="I53" s="195"/>
      <c r="J53" s="195"/>
      <c r="K53" s="195"/>
      <c r="L53" s="195"/>
      <c r="M53" s="195"/>
      <c r="N53" s="195"/>
      <c r="O53" s="195"/>
      <c r="P53" s="195"/>
      <c r="Q53" s="196"/>
    </row>
  </sheetData>
  <mergeCells count="65">
    <mergeCell ref="R7:R8"/>
    <mergeCell ref="S7:S8"/>
    <mergeCell ref="T7:T8"/>
    <mergeCell ref="U7:U8"/>
    <mergeCell ref="A30:B37"/>
    <mergeCell ref="C30:D37"/>
    <mergeCell ref="E30:G37"/>
    <mergeCell ref="H30:N37"/>
    <mergeCell ref="B22:C23"/>
    <mergeCell ref="F19:K26"/>
    <mergeCell ref="B20:C21"/>
    <mergeCell ref="G7:N9"/>
    <mergeCell ref="B18:C19"/>
    <mergeCell ref="H10:N15"/>
    <mergeCell ref="A51:C51"/>
    <mergeCell ref="H51:Q51"/>
    <mergeCell ref="H52:Q52"/>
    <mergeCell ref="H53:Q53"/>
    <mergeCell ref="A7:A9"/>
    <mergeCell ref="A10:A11"/>
    <mergeCell ref="B7:B8"/>
    <mergeCell ref="C7:C8"/>
    <mergeCell ref="D7:D8"/>
    <mergeCell ref="E7:E9"/>
    <mergeCell ref="F7:F9"/>
    <mergeCell ref="G10:G15"/>
    <mergeCell ref="O7:O8"/>
    <mergeCell ref="P7:P8"/>
    <mergeCell ref="Q7:Q8"/>
    <mergeCell ref="H46:Q46"/>
    <mergeCell ref="H47:Q47"/>
    <mergeCell ref="H48:Q48"/>
    <mergeCell ref="H49:Q49"/>
    <mergeCell ref="H50:Q50"/>
    <mergeCell ref="H41:Q41"/>
    <mergeCell ref="H42:Q42"/>
    <mergeCell ref="H43:Q43"/>
    <mergeCell ref="H44:Q44"/>
    <mergeCell ref="H45:Q45"/>
    <mergeCell ref="A39:G39"/>
    <mergeCell ref="H39:K39"/>
    <mergeCell ref="L39:P39"/>
    <mergeCell ref="A40:C40"/>
    <mergeCell ref="D40:G40"/>
    <mergeCell ref="H40:K40"/>
    <mergeCell ref="L40:P40"/>
    <mergeCell ref="A28:Q28"/>
    <mergeCell ref="A29:Q29"/>
    <mergeCell ref="A38:B38"/>
    <mergeCell ref="C38:D38"/>
    <mergeCell ref="E38:G38"/>
    <mergeCell ref="H38:N38"/>
    <mergeCell ref="E4:H4"/>
    <mergeCell ref="K4:Q4"/>
    <mergeCell ref="E5:H5"/>
    <mergeCell ref="K5:Q5"/>
    <mergeCell ref="D18:E18"/>
    <mergeCell ref="F18:K18"/>
    <mergeCell ref="L18:Q18"/>
    <mergeCell ref="A1:C1"/>
    <mergeCell ref="K1:Q1"/>
    <mergeCell ref="E2:H2"/>
    <mergeCell ref="K2:Q2"/>
    <mergeCell ref="E3:H3"/>
    <mergeCell ref="K3:Q3"/>
  </mergeCells>
  <printOptions horizontalCentered="1" verticalCentered="1"/>
  <pageMargins left="0.27559055118110198" right="0.27559055118110198" top="0.27" bottom="0.23622047244094499" header="0" footer="0"/>
  <pageSetup paperSize="9" scale="36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Rendy Gunawan</cp:lastModifiedBy>
  <cp:lastPrinted>2020-09-25T12:29:00Z</cp:lastPrinted>
  <dcterms:created xsi:type="dcterms:W3CDTF">2015-03-30T10:01:00Z</dcterms:created>
  <dcterms:modified xsi:type="dcterms:W3CDTF">2026-07-29T17:13:48Z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1033-6.13.1.8710</vt:lpwstr>
  </property>
  <property fmtid="{D5CDD505-2E9C-101B-9397-08002B2CF9AE}" pid="3" name="ICV">
    <vt:lpwstr>D1FE72977499462395B41156810F003D_13</vt:lpwstr>
  </property>
</Properties>
</file>