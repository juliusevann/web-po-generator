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SANGKURIANG\MD_PROJECT\PO\SUPER\po_template\"/>
    </mc:Choice>
  </mc:AlternateContent>
  <bookViews>
    <workbookView xWindow="0" yWindow="0" windowWidth="20490" windowHeight="7500"/>
  </bookViews>
  <sheets>
    <sheet name="CONFIRMED PO" sheetId="4" r:id="rId1"/>
    <sheet name="packing list" sheetId="13" r:id="rId2"/>
    <sheet name="Sheet2" sheetId="16" state="hidden" r:id="rId3"/>
  </sheets>
  <definedNames>
    <definedName name="_xlnm.Print_Area" localSheetId="0">'CONFIRMED PO'!$A$1:$U$52</definedName>
    <definedName name="_xlnm.Print_Area" localSheetId="1">'packing list'!$A$1:$Y$31</definedName>
  </definedNames>
  <calcPr calcId="162913"/>
</workbook>
</file>

<file path=xl/calcChain.xml><?xml version="1.0" encoding="utf-8"?>
<calcChain xmlns="http://schemas.openxmlformats.org/spreadsheetml/2006/main">
  <c r="I11" i="4" l="1"/>
  <c r="M11" i="4"/>
  <c r="N11" i="4"/>
  <c r="O11" i="4"/>
  <c r="R11" i="4"/>
  <c r="P11" i="4"/>
  <c r="J12" i="4"/>
  <c r="K12" i="4"/>
  <c r="L12" i="4"/>
  <c r="M12" i="4"/>
  <c r="N12" i="4"/>
  <c r="O12" i="4"/>
  <c r="R12" i="4"/>
  <c r="P12" i="4"/>
  <c r="G13" i="4"/>
  <c r="H13" i="4"/>
  <c r="I13" i="4"/>
  <c r="J13" i="4"/>
  <c r="L13" i="4"/>
  <c r="M13" i="4"/>
  <c r="N13" i="4"/>
  <c r="O13" i="4"/>
  <c r="P13" i="4"/>
  <c r="K18" i="4"/>
  <c r="L18" i="4"/>
  <c r="M18" i="4"/>
  <c r="N18" i="4"/>
  <c r="O18" i="4"/>
  <c r="P18" i="4"/>
  <c r="Q18" i="4"/>
  <c r="F19" i="4"/>
  <c r="I19" i="4"/>
  <c r="Q19" i="4"/>
  <c r="R19" i="4"/>
  <c r="I20" i="4"/>
  <c r="Q20" i="4"/>
  <c r="R20" i="4"/>
  <c r="I21" i="4"/>
  <c r="Q21" i="4"/>
  <c r="R21" i="4"/>
  <c r="K22" i="4"/>
  <c r="L22" i="4"/>
  <c r="M22" i="4"/>
  <c r="N22" i="4"/>
  <c r="O22" i="4"/>
  <c r="P22" i="4"/>
  <c r="Q22" i="4"/>
  <c r="A27" i="4"/>
  <c r="A36" i="4"/>
  <c r="C36" i="4"/>
  <c r="F36" i="4"/>
  <c r="A3" i="13"/>
  <c r="N3" i="13"/>
  <c r="A4" i="13"/>
  <c r="C4" i="13"/>
  <c r="D4" i="13"/>
  <c r="E4" i="13"/>
  <c r="F4" i="13"/>
  <c r="G4" i="13"/>
  <c r="H4" i="13"/>
  <c r="N4" i="13"/>
  <c r="O4" i="13"/>
  <c r="P4" i="13"/>
  <c r="Q4" i="13"/>
  <c r="R4" i="13"/>
  <c r="S4" i="13"/>
  <c r="T4" i="13"/>
  <c r="U4" i="13"/>
  <c r="I5" i="13"/>
  <c r="L5" i="13"/>
  <c r="V5" i="13"/>
  <c r="Y5" i="13"/>
  <c r="B6" i="13"/>
  <c r="C6" i="13"/>
  <c r="D6" i="13"/>
  <c r="E6" i="13"/>
  <c r="F6" i="13"/>
  <c r="G6" i="13"/>
  <c r="H6" i="13"/>
  <c r="I6" i="13"/>
  <c r="O6" i="13"/>
  <c r="P6" i="13"/>
  <c r="Q6" i="13"/>
  <c r="R6" i="13"/>
  <c r="S6" i="13"/>
  <c r="T6" i="13"/>
  <c r="U6" i="13"/>
  <c r="V6" i="13"/>
  <c r="I8" i="13"/>
  <c r="L8" i="13"/>
  <c r="V8" i="13"/>
  <c r="Y8" i="13"/>
  <c r="B9" i="13"/>
  <c r="C9" i="13"/>
  <c r="D9" i="13"/>
  <c r="E9" i="13"/>
  <c r="F9" i="13"/>
  <c r="G9" i="13"/>
  <c r="H9" i="13"/>
  <c r="I9" i="13"/>
  <c r="O9" i="13"/>
  <c r="P9" i="13"/>
  <c r="Q9" i="13"/>
  <c r="R9" i="13"/>
  <c r="S9" i="13"/>
  <c r="T9" i="13"/>
  <c r="U9" i="13"/>
  <c r="V9" i="13"/>
  <c r="I11" i="13"/>
  <c r="L11" i="13"/>
  <c r="V11" i="13"/>
  <c r="Y11" i="13"/>
  <c r="B12" i="13"/>
  <c r="C12" i="13"/>
  <c r="D12" i="13"/>
  <c r="E12" i="13"/>
  <c r="F12" i="13"/>
  <c r="G12" i="13"/>
  <c r="H12" i="13"/>
  <c r="I12" i="13"/>
  <c r="O12" i="13"/>
  <c r="P12" i="13"/>
  <c r="Q12" i="13"/>
  <c r="R12" i="13"/>
  <c r="S12" i="13"/>
  <c r="T12" i="13"/>
  <c r="U12" i="13"/>
  <c r="V12" i="13"/>
  <c r="I14" i="13"/>
  <c r="L14" i="13"/>
  <c r="V14" i="13"/>
  <c r="Y14" i="13"/>
  <c r="B15" i="13"/>
  <c r="C15" i="13"/>
  <c r="D15" i="13"/>
  <c r="E15" i="13"/>
  <c r="F15" i="13"/>
  <c r="G15" i="13"/>
  <c r="H15" i="13"/>
  <c r="I15" i="13"/>
  <c r="O15" i="13"/>
  <c r="P15" i="13"/>
  <c r="Q15" i="13"/>
  <c r="R15" i="13"/>
  <c r="S15" i="13"/>
  <c r="T15" i="13"/>
  <c r="U15" i="13"/>
  <c r="V15" i="13"/>
  <c r="I17" i="13"/>
  <c r="L17" i="13"/>
  <c r="V17" i="13"/>
  <c r="Y17" i="13"/>
  <c r="B18" i="13"/>
  <c r="C18" i="13"/>
  <c r="D18" i="13"/>
  <c r="E18" i="13"/>
  <c r="F18" i="13"/>
  <c r="G18" i="13"/>
  <c r="H18" i="13"/>
  <c r="I18" i="13"/>
  <c r="O18" i="13"/>
  <c r="P18" i="13"/>
  <c r="Q18" i="13"/>
  <c r="R18" i="13"/>
  <c r="S18" i="13"/>
  <c r="T18" i="13"/>
  <c r="U18" i="13"/>
  <c r="V18" i="13"/>
  <c r="I20" i="13"/>
  <c r="L20" i="13"/>
  <c r="V20" i="13"/>
  <c r="Y20" i="13"/>
  <c r="C21" i="13"/>
  <c r="D21" i="13"/>
  <c r="E21" i="13"/>
  <c r="F21" i="13"/>
  <c r="G21" i="13"/>
  <c r="H21" i="13"/>
  <c r="I21" i="13"/>
  <c r="P21" i="13"/>
  <c r="Q21" i="13"/>
  <c r="R21" i="13"/>
  <c r="S21" i="13"/>
  <c r="T21" i="13"/>
  <c r="U21" i="13"/>
  <c r="V21" i="13"/>
  <c r="I23" i="13"/>
  <c r="L23" i="13"/>
  <c r="V23" i="13"/>
  <c r="Y23" i="13"/>
  <c r="B24" i="13"/>
  <c r="C24" i="13"/>
  <c r="D24" i="13"/>
  <c r="E24" i="13"/>
  <c r="F24" i="13"/>
  <c r="G24" i="13"/>
  <c r="H24" i="13"/>
  <c r="I24" i="13"/>
  <c r="O24" i="13"/>
  <c r="P24" i="13"/>
  <c r="Q24" i="13"/>
  <c r="R24" i="13"/>
  <c r="S24" i="13"/>
  <c r="T24" i="13"/>
  <c r="U24" i="13"/>
  <c r="V24" i="13"/>
  <c r="I26" i="13"/>
  <c r="L26" i="13"/>
  <c r="V26" i="13"/>
  <c r="Y26" i="13"/>
  <c r="B27" i="13"/>
  <c r="C27" i="13"/>
  <c r="D27" i="13"/>
  <c r="E27" i="13"/>
  <c r="F27" i="13"/>
  <c r="G27" i="13"/>
  <c r="H27" i="13"/>
  <c r="I27" i="13"/>
  <c r="O27" i="13"/>
  <c r="P27" i="13"/>
  <c r="Q27" i="13"/>
  <c r="R27" i="13"/>
  <c r="S27" i="13"/>
  <c r="V27" i="13"/>
  <c r="B29" i="13"/>
  <c r="C29" i="13"/>
  <c r="D29" i="13"/>
  <c r="E29" i="13"/>
  <c r="F29" i="13"/>
  <c r="G29" i="13"/>
  <c r="H29" i="13"/>
  <c r="I29" i="13"/>
  <c r="O29" i="13"/>
  <c r="P29" i="13"/>
  <c r="Q29" i="13"/>
  <c r="R29" i="13"/>
  <c r="S29" i="13"/>
  <c r="T29" i="13"/>
  <c r="U29" i="13"/>
  <c r="V29" i="13"/>
  <c r="K30" i="13"/>
  <c r="L30" i="13"/>
  <c r="X30" i="13"/>
  <c r="Y30" i="13"/>
  <c r="B31" i="13"/>
  <c r="C31" i="13"/>
  <c r="D31" i="13"/>
  <c r="E31" i="13"/>
  <c r="F31" i="13"/>
  <c r="G31" i="13"/>
  <c r="A34" i="13"/>
  <c r="A35" i="13"/>
  <c r="B35" i="13"/>
  <c r="C35" i="13"/>
  <c r="D35" i="13"/>
  <c r="E35" i="13"/>
  <c r="F35" i="13"/>
  <c r="G35" i="13"/>
  <c r="H35" i="13"/>
  <c r="I36" i="13"/>
  <c r="L36" i="13"/>
  <c r="B37" i="13"/>
  <c r="C37" i="13"/>
  <c r="D37" i="13"/>
  <c r="E37" i="13"/>
  <c r="F37" i="13"/>
  <c r="G37" i="13"/>
  <c r="I37" i="13"/>
  <c r="I39" i="13"/>
  <c r="L39" i="13"/>
  <c r="B40" i="13"/>
  <c r="C40" i="13"/>
  <c r="D40" i="13"/>
  <c r="E40" i="13"/>
  <c r="F40" i="13"/>
  <c r="G40" i="13"/>
  <c r="I40" i="13"/>
  <c r="I42" i="13"/>
  <c r="L42" i="13"/>
  <c r="B43" i="13"/>
  <c r="C43" i="13"/>
  <c r="D43" i="13"/>
  <c r="E43" i="13"/>
  <c r="F43" i="13"/>
  <c r="G43" i="13"/>
  <c r="I43" i="13"/>
  <c r="I45" i="13"/>
  <c r="L45" i="13"/>
  <c r="B46" i="13"/>
  <c r="C46" i="13"/>
  <c r="D46" i="13"/>
  <c r="E46" i="13"/>
  <c r="F46" i="13"/>
  <c r="G46" i="13"/>
  <c r="I46" i="13"/>
  <c r="I48" i="13"/>
  <c r="L48" i="13"/>
  <c r="B49" i="13"/>
  <c r="C49" i="13"/>
  <c r="D49" i="13"/>
  <c r="E49" i="13"/>
  <c r="F49" i="13"/>
  <c r="G49" i="13"/>
  <c r="H49" i="13"/>
  <c r="I49" i="13"/>
  <c r="I51" i="13"/>
  <c r="L51" i="13"/>
  <c r="C52" i="13"/>
  <c r="D52" i="13"/>
  <c r="E52" i="13"/>
  <c r="F52" i="13"/>
  <c r="G52" i="13"/>
  <c r="H52" i="13"/>
  <c r="I52" i="13"/>
  <c r="I54" i="13"/>
  <c r="L54" i="13"/>
  <c r="B55" i="13"/>
  <c r="C55" i="13"/>
  <c r="D55" i="13"/>
  <c r="E55" i="13"/>
  <c r="F55" i="13"/>
  <c r="G55" i="13"/>
  <c r="I55" i="13"/>
  <c r="I57" i="13"/>
  <c r="L57" i="13"/>
  <c r="B58" i="13"/>
  <c r="C58" i="13"/>
  <c r="D58" i="13"/>
  <c r="E58" i="13"/>
  <c r="F58" i="13"/>
  <c r="I58" i="13"/>
  <c r="B60" i="13"/>
  <c r="C60" i="13"/>
  <c r="D60" i="13"/>
  <c r="E60" i="13"/>
  <c r="F60" i="13"/>
  <c r="G60" i="13"/>
  <c r="H60" i="13"/>
  <c r="I60" i="13"/>
  <c r="K61" i="13"/>
  <c r="L61" i="13"/>
  <c r="C3" i="16"/>
  <c r="E3" i="16"/>
  <c r="G3" i="16"/>
  <c r="H3" i="16"/>
  <c r="O3" i="16"/>
  <c r="P3" i="16"/>
  <c r="R3" i="16"/>
  <c r="S3" i="16"/>
  <c r="W3" i="16"/>
  <c r="X3" i="16"/>
  <c r="AC3" i="16"/>
  <c r="AD3" i="16"/>
  <c r="AF3" i="16"/>
  <c r="AG3" i="16"/>
  <c r="AI3" i="16"/>
  <c r="AJ3" i="16"/>
  <c r="AL3" i="16"/>
  <c r="AM3" i="16"/>
  <c r="AQ3" i="16"/>
  <c r="C4" i="16"/>
  <c r="E4" i="16"/>
  <c r="G4" i="16"/>
  <c r="H4" i="16"/>
  <c r="O4" i="16"/>
  <c r="P4" i="16"/>
  <c r="R4" i="16"/>
  <c r="S4" i="16"/>
  <c r="W4" i="16"/>
  <c r="X4" i="16"/>
  <c r="AC4" i="16"/>
  <c r="AD4" i="16"/>
  <c r="AF4" i="16"/>
  <c r="AG4" i="16"/>
  <c r="AI4" i="16"/>
  <c r="AJ4" i="16"/>
  <c r="AL4" i="16"/>
  <c r="AM4" i="16"/>
  <c r="AQ4" i="16"/>
  <c r="C5" i="16"/>
  <c r="E5" i="16"/>
  <c r="G5" i="16"/>
  <c r="H5" i="16"/>
  <c r="O5" i="16"/>
  <c r="P5" i="16"/>
  <c r="R5" i="16"/>
  <c r="S5" i="16"/>
  <c r="W5" i="16"/>
  <c r="X5" i="16"/>
  <c r="AC5" i="16"/>
  <c r="AD5" i="16"/>
  <c r="AF5" i="16"/>
  <c r="AG5" i="16"/>
  <c r="AI5" i="16"/>
  <c r="AJ5" i="16"/>
  <c r="AL5" i="16"/>
  <c r="AM5" i="16"/>
  <c r="AQ5" i="16"/>
  <c r="C6" i="16"/>
  <c r="E6" i="16"/>
  <c r="G6" i="16"/>
  <c r="H6" i="16"/>
  <c r="O6" i="16"/>
  <c r="P6" i="16"/>
  <c r="R6" i="16"/>
  <c r="S6" i="16"/>
  <c r="W6" i="16"/>
  <c r="X6" i="16"/>
  <c r="AC6" i="16"/>
  <c r="AD6" i="16"/>
  <c r="AF6" i="16"/>
  <c r="AG6" i="16"/>
  <c r="AI6" i="16"/>
  <c r="AJ6" i="16"/>
  <c r="AL6" i="16"/>
  <c r="AM6" i="16"/>
  <c r="AQ6" i="16"/>
  <c r="C7" i="16"/>
  <c r="E7" i="16"/>
  <c r="G7" i="16"/>
  <c r="H7" i="16"/>
  <c r="O7" i="16"/>
  <c r="P7" i="16"/>
  <c r="R7" i="16"/>
  <c r="S7" i="16"/>
  <c r="W7" i="16"/>
  <c r="X7" i="16"/>
  <c r="AC7" i="16"/>
  <c r="AD7" i="16"/>
  <c r="AF7" i="16"/>
  <c r="AG7" i="16"/>
  <c r="AI7" i="16"/>
  <c r="AJ7" i="16"/>
  <c r="AL7" i="16"/>
  <c r="AM7" i="16"/>
  <c r="AQ7" i="16"/>
  <c r="C8" i="16"/>
  <c r="E8" i="16"/>
  <c r="G8" i="16"/>
  <c r="H8" i="16"/>
  <c r="O8" i="16"/>
  <c r="P8" i="16"/>
  <c r="R8" i="16"/>
  <c r="S8" i="16"/>
  <c r="W8" i="16"/>
  <c r="X8" i="16"/>
  <c r="AF8" i="16"/>
  <c r="AG8" i="16"/>
  <c r="AI8" i="16"/>
  <c r="AJ8" i="16"/>
  <c r="AL8" i="16"/>
  <c r="AM8" i="16"/>
  <c r="AQ8" i="16"/>
  <c r="R22" i="4"/>
  <c r="P15" i="4"/>
  <c r="O15" i="4"/>
  <c r="R15" i="4"/>
</calcChain>
</file>

<file path=xl/sharedStrings.xml><?xml version="1.0" encoding="utf-8"?>
<sst xmlns="http://schemas.openxmlformats.org/spreadsheetml/2006/main" count="192" uniqueCount="111">
  <si>
    <t>PURCHASE ORDER</t>
  </si>
  <si>
    <t>PT. LARA THALIA ABADI</t>
  </si>
  <si>
    <t xml:space="preserve">PO NO </t>
  </si>
  <si>
    <t xml:space="preserve">: </t>
  </si>
  <si>
    <t>EVERBEST TOWER - CENGKARENG BUSINESS CITY TOWER M</t>
  </si>
  <si>
    <t>TRACCE</t>
  </si>
  <si>
    <t>Jl. Atang Sanjaya no. 21 Benda - Tangerang Banten, Indonesia</t>
  </si>
  <si>
    <t xml:space="preserve">DATE </t>
  </si>
  <si>
    <t>PHONE : 021 - 2252 9090</t>
  </si>
  <si>
    <t xml:space="preserve">TO </t>
  </si>
  <si>
    <t>: EDE</t>
  </si>
  <si>
    <t>E-MAIL ADDRESS : arisma@everbestgroup.com</t>
  </si>
  <si>
    <t>DESCRIPTION</t>
  </si>
  <si>
    <t>SUPPLIER CODE</t>
  </si>
  <si>
    <t>LTA ARTICLE</t>
  </si>
  <si>
    <t>COLOUR</t>
  </si>
  <si>
    <t>颜色</t>
  </si>
  <si>
    <t>SIZE RANGE</t>
  </si>
  <si>
    <t>12 SET</t>
  </si>
  <si>
    <t>6 SET</t>
  </si>
  <si>
    <t>QTY PAIRS</t>
  </si>
  <si>
    <t>QTY CARTON</t>
  </si>
  <si>
    <t>UNIT PRICE</t>
  </si>
  <si>
    <t>AMOUNT</t>
  </si>
  <si>
    <t>A</t>
  </si>
  <si>
    <t>B</t>
  </si>
  <si>
    <t>C</t>
  </si>
  <si>
    <t>D</t>
  </si>
  <si>
    <t>E</t>
  </si>
  <si>
    <t>F</t>
  </si>
  <si>
    <t>G</t>
  </si>
  <si>
    <t>H</t>
  </si>
  <si>
    <t>厂编号</t>
  </si>
  <si>
    <t>我司鞋编号</t>
  </si>
  <si>
    <t>US$</t>
  </si>
  <si>
    <t>MAKE SAMPLE</t>
  </si>
  <si>
    <t>Delivery Date</t>
  </si>
  <si>
    <t xml:space="preserve"> 交货日期 </t>
  </si>
  <si>
    <t>ARTICLE NAME</t>
  </si>
  <si>
    <t>COLOR</t>
  </si>
  <si>
    <t>SIZES</t>
  </si>
  <si>
    <t>TOTAL QTY</t>
  </si>
  <si>
    <t xml:space="preserve">LOGO : 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</si>
  <si>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</si>
  <si>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</si>
  <si>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</si>
  <si>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</si>
  <si>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</si>
  <si>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</si>
  <si>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</si>
  <si>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</si>
  <si>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LINING</t>
  </si>
  <si>
    <t>SHOE MATERIAL CODE</t>
  </si>
  <si>
    <t>QR CODE 二维码:</t>
  </si>
  <si>
    <t>(请贴这些条码在鞋盒按照图片)</t>
  </si>
  <si>
    <t>鞋盒 和 箱子 包法</t>
  </si>
  <si>
    <t>(打印在内里上）</t>
  </si>
  <si>
    <t>鞋子材料贴标</t>
  </si>
  <si>
    <t xml:space="preserve">PACKING LIST PO </t>
  </si>
  <si>
    <t>colly</t>
  </si>
  <si>
    <t>pairs</t>
  </si>
  <si>
    <t>SET A</t>
  </si>
  <si>
    <t>X</t>
  </si>
  <si>
    <t>total A</t>
  </si>
  <si>
    <t>SET B</t>
  </si>
  <si>
    <t>total B</t>
  </si>
  <si>
    <t>SET C</t>
  </si>
  <si>
    <t>total C</t>
  </si>
  <si>
    <t>SET D</t>
  </si>
  <si>
    <t>total D</t>
  </si>
  <si>
    <t>SET E</t>
  </si>
  <si>
    <t>total E</t>
  </si>
  <si>
    <t>SET F</t>
  </si>
  <si>
    <t>total F</t>
  </si>
  <si>
    <t>SET G</t>
  </si>
  <si>
    <t>total G</t>
  </si>
  <si>
    <t>SET H</t>
  </si>
  <si>
    <t>total H</t>
  </si>
  <si>
    <t>total PO qty</t>
  </si>
  <si>
    <t>Jabodetabek</t>
  </si>
  <si>
    <t>Sumatera</t>
  </si>
  <si>
    <t>Kalimantan</t>
  </si>
  <si>
    <t>Lombok</t>
  </si>
  <si>
    <t>Sulawesi</t>
  </si>
  <si>
    <t>EVB SMB (Bekasi)</t>
  </si>
  <si>
    <t>EVB KGM (Jkt)</t>
  </si>
  <si>
    <t>MP</t>
  </si>
  <si>
    <t>Ecomm</t>
  </si>
  <si>
    <t>EB Aeon (Tgr)</t>
  </si>
  <si>
    <t>EB GMB (Bekasi)</t>
  </si>
  <si>
    <t>EB Puri (Jkt)</t>
  </si>
  <si>
    <t>EB Sency (Jkt)</t>
  </si>
  <si>
    <t>EVB SKA (Pekanbaru)</t>
  </si>
  <si>
    <t>EVB CPM (Medan)</t>
  </si>
  <si>
    <t>EB PSQ (Palembang)</t>
  </si>
  <si>
    <t>TR Icon (Palembang)</t>
  </si>
  <si>
    <t>EVB Bumi Raya (Pontianak)</t>
  </si>
  <si>
    <t>EVB SAMARINDA</t>
  </si>
  <si>
    <t>EB Balikpapan</t>
  </si>
  <si>
    <t>TR Lombok</t>
  </si>
  <si>
    <t>EVB Kendari</t>
  </si>
  <si>
    <t>EVB Panakukang (Mks)</t>
  </si>
  <si>
    <t>EVB Mari (Mks)</t>
  </si>
  <si>
    <t>EVB Mantos (Manado)</t>
  </si>
  <si>
    <t>EVB Trans (Mks)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</si>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</sst>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3809]dd\ mmmm\ yyyy;@"/>
    <numFmt numFmtId="165" formatCode="_(* #,##0_);_(* \(#,##0\);_(* &quot;-&quot;??_);_(@_)"/>
    <numFmt numFmtId="166" formatCode="0_ "/>
    <numFmt numFmtId="167" formatCode="[$￥-804]#,##0"/>
    <numFmt numFmtId="168" formatCode="[$-409]d\-mmm\-yy;@"/>
    <numFmt numFmtId="169" formatCode="#,##0.0"/>
    <numFmt numFmtId="170" formatCode="_(&quot;$&quot;* #,##0_);_(&quot;$&quot;* \(#,##0\);_(&quot;$&quot;* &quot;-&quot;??_);_(@_)"/>
  </numFmts>
  <fonts count="69"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name val="Trebuchet MS"/>
      <family val="2"/>
    </font>
    <font>
      <b/>
      <sz val="14"/>
      <name val="Arial"/>
      <family val="2"/>
    </font>
    <font>
      <sz val="18"/>
      <color indexed="9"/>
      <name val="Trebuchet MS"/>
      <family val="2"/>
    </font>
    <font>
      <b/>
      <sz val="18"/>
      <name val="Arial"/>
      <family val="2"/>
    </font>
    <font>
      <b/>
      <sz val="16"/>
      <name val="Trebuchet MS"/>
      <family val="2"/>
    </font>
    <font>
      <b/>
      <sz val="16"/>
      <color indexed="16"/>
      <name val="Arial"/>
      <family val="2"/>
    </font>
    <font>
      <b/>
      <sz val="12"/>
      <color indexed="18"/>
      <name val="Trebuchet MS"/>
      <family val="2"/>
    </font>
    <font>
      <b/>
      <sz val="12"/>
      <name val="Trebuchet MS"/>
      <family val="2"/>
    </font>
    <font>
      <sz val="10"/>
      <name val="Trebuchet MS"/>
      <family val="2"/>
    </font>
    <font>
      <b/>
      <sz val="14"/>
      <color indexed="9"/>
      <name val="Century Gothic"/>
      <family val="2"/>
    </font>
    <font>
      <b/>
      <sz val="11"/>
      <name val="Arial"/>
      <family val="2"/>
    </font>
    <font>
      <b/>
      <sz val="11"/>
      <name val="Trebuchet MS"/>
      <family val="2"/>
    </font>
    <font>
      <b/>
      <sz val="14"/>
      <name val="Trebuchet MS"/>
      <family val="2"/>
    </font>
    <font>
      <b/>
      <sz val="20"/>
      <name val="Trebuchet MS"/>
      <family val="2"/>
    </font>
    <font>
      <sz val="12"/>
      <name val="Trebuchet MS"/>
      <family val="2"/>
    </font>
    <font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sz val="36"/>
      <color indexed="10"/>
      <name val="Trebuchet MS"/>
      <family val="2"/>
    </font>
    <font>
      <b/>
      <sz val="18"/>
      <name val="Trebuchet MS"/>
      <family val="2"/>
    </font>
    <font>
      <b/>
      <sz val="10"/>
      <name val="Trebuchet MS"/>
      <family val="2"/>
    </font>
    <font>
      <b/>
      <sz val="12"/>
      <name val="Century Gothic"/>
      <family val="2"/>
    </font>
    <font>
      <sz val="16"/>
      <name val="Arial"/>
      <family val="2"/>
    </font>
    <font>
      <b/>
      <sz val="13"/>
      <name val="Trebuchet MS"/>
      <family val="2"/>
    </font>
    <font>
      <b/>
      <sz val="11"/>
      <color indexed="36"/>
      <name val="Trebuchet MS"/>
      <family val="2"/>
    </font>
    <font>
      <sz val="9"/>
      <name val="Trebuchet MS"/>
      <family val="2"/>
    </font>
    <font>
      <b/>
      <sz val="12"/>
      <color indexed="16"/>
      <name val="Trebuchet MS"/>
      <family val="2"/>
    </font>
    <font>
      <sz val="9"/>
      <name val="Arial"/>
      <family val="2"/>
    </font>
    <font>
      <sz val="11"/>
      <name val="Arial"/>
      <family val="2"/>
    </font>
    <font>
      <b/>
      <sz val="14"/>
      <name val="Comic Sans MS"/>
      <family val="4"/>
    </font>
    <font>
      <b/>
      <sz val="16"/>
      <name val="Century Gothic"/>
      <family val="2"/>
    </font>
    <font>
      <b/>
      <sz val="14"/>
      <name val="Century Gothic"/>
      <family val="2"/>
    </font>
    <font>
      <b/>
      <sz val="9"/>
      <color indexed="10"/>
      <name val="Trebuchet MS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17"/>
      <name val="宋体"/>
    </font>
    <font>
      <sz val="11"/>
      <color indexed="20"/>
      <name val="Calibri"/>
      <family val="2"/>
    </font>
    <font>
      <sz val="11"/>
      <color indexed="20"/>
      <name val="宋体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宋体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Trebuchet MS"/>
      <family val="2"/>
    </font>
    <font>
      <b/>
      <sz val="12"/>
      <color rgb="FFFF0000"/>
      <name val="Trebuchet MS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Trebuchet MS"/>
      <family val="2"/>
    </font>
    <font>
      <b/>
      <sz val="11"/>
      <color rgb="FFFF000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0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6">
    <xf numFmtId="0" fontId="0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2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6" borderId="0" applyNumberFormat="0" applyBorder="0" applyAlignment="0" applyProtection="0"/>
    <xf numFmtId="0" fontId="36" fillId="9" borderId="0" applyNumberFormat="0" applyBorder="0" applyAlignment="0" applyProtection="0"/>
    <xf numFmtId="0" fontId="36" fillId="12" borderId="0" applyNumberFormat="0" applyBorder="0" applyAlignment="0" applyProtection="0"/>
    <xf numFmtId="0" fontId="37" fillId="14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3" borderId="0" applyNumberFormat="0" applyBorder="0" applyAlignment="0" applyProtection="0"/>
    <xf numFmtId="0" fontId="37" fillId="16" borderId="0" applyNumberFormat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0" fontId="57" fillId="0" borderId="0"/>
    <xf numFmtId="0" fontId="57" fillId="0" borderId="0"/>
    <xf numFmtId="0" fontId="57" fillId="0" borderId="0"/>
    <xf numFmtId="0" fontId="56" fillId="0" borderId="0"/>
    <xf numFmtId="164" fontId="57" fillId="0" borderId="0"/>
    <xf numFmtId="0" fontId="56" fillId="0" borderId="0"/>
    <xf numFmtId="0" fontId="57" fillId="0" borderId="0"/>
    <xf numFmtId="0" fontId="57" fillId="0" borderId="0"/>
    <xf numFmtId="0" fontId="56" fillId="0" borderId="0"/>
    <xf numFmtId="0" fontId="56" fillId="0" borderId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2" fillId="5" borderId="0" applyNumberFormat="0" applyBorder="0" applyAlignment="0" applyProtection="0"/>
    <xf numFmtId="0" fontId="43" fillId="5" borderId="0" applyNumberFormat="0" applyBorder="0" applyAlignment="0" applyProtection="0">
      <alignment vertical="center"/>
    </xf>
    <xf numFmtId="0" fontId="44" fillId="4" borderId="0" applyNumberFormat="0" applyBorder="0" applyAlignment="0" applyProtection="0"/>
    <xf numFmtId="0" fontId="45" fillId="4" borderId="0" applyNumberFormat="0" applyBorder="0" applyAlignment="0" applyProtection="0">
      <alignment vertical="center"/>
    </xf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15" borderId="0" applyNumberFormat="0" applyBorder="0" applyAlignment="0" applyProtection="0"/>
    <xf numFmtId="0" fontId="37" fillId="13" borderId="0" applyNumberFormat="0" applyBorder="0" applyAlignment="0" applyProtection="0"/>
    <xf numFmtId="0" fontId="37" fillId="23" borderId="0" applyNumberFormat="0" applyBorder="0" applyAlignment="0" applyProtection="0"/>
    <xf numFmtId="0" fontId="46" fillId="0" borderId="0" applyNumberFormat="0" applyFill="0" applyBorder="0" applyAlignment="0" applyProtection="0"/>
    <xf numFmtId="0" fontId="47" fillId="0" borderId="7" applyNumberFormat="0" applyFill="0" applyAlignment="0" applyProtection="0"/>
    <xf numFmtId="0" fontId="48" fillId="0" borderId="3" applyNumberFormat="0" applyFill="0" applyAlignment="0" applyProtection="0"/>
    <xf numFmtId="0" fontId="41" fillId="0" borderId="8" applyNumberFormat="0" applyFill="0" applyAlignment="0" applyProtection="0"/>
    <xf numFmtId="0" fontId="41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17" borderId="2" applyNumberFormat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6" fillId="18" borderId="5" applyNumberFormat="0" applyFont="0" applyAlignment="0" applyProtection="0"/>
    <xf numFmtId="0" fontId="56" fillId="18" borderId="5" applyNumberFormat="0" applyFont="0" applyAlignment="0" applyProtection="0"/>
    <xf numFmtId="0" fontId="56" fillId="18" borderId="5" applyNumberFormat="0" applyFont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9" fillId="8" borderId="1" applyNumberFormat="0" applyAlignment="0" applyProtection="0"/>
    <xf numFmtId="0" fontId="54" fillId="2" borderId="1" applyNumberFormat="0" applyAlignment="0" applyProtection="0"/>
    <xf numFmtId="0" fontId="40" fillId="8" borderId="6" applyNumberFormat="0" applyAlignment="0" applyProtection="0"/>
    <xf numFmtId="0" fontId="40" fillId="8" borderId="6" applyNumberFormat="0" applyAlignment="0" applyProtection="0"/>
    <xf numFmtId="0" fontId="38" fillId="19" borderId="0" applyNumberFormat="0" applyBorder="0" applyAlignment="0" applyProtection="0"/>
    <xf numFmtId="0" fontId="55" fillId="0" borderId="4" applyNumberFormat="0" applyFill="0" applyAlignment="0" applyProtection="0"/>
  </cellStyleXfs>
  <cellXfs count="391">
    <xf numFmtId="0" fontId="0" fillId="0" borderId="0" xfId="0"/>
    <xf numFmtId="3" fontId="59" fillId="25" borderId="10" xfId="0" applyNumberFormat="1" applyFont="1" applyFill="1" applyBorder="1" applyAlignment="1">
      <alignment horizontal="center" vertical="center"/>
    </xf>
    <xf numFmtId="3" fontId="59" fillId="25" borderId="11" xfId="0" applyNumberFormat="1" applyFont="1" applyFill="1" applyBorder="1" applyAlignment="1">
      <alignment horizontal="center" vertical="center"/>
    </xf>
    <xf numFmtId="3" fontId="59" fillId="25" borderId="12" xfId="0" applyNumberFormat="1" applyFont="1" applyFill="1" applyBorder="1" applyAlignment="1">
      <alignment horizontal="center" vertical="center"/>
    </xf>
    <xf numFmtId="3" fontId="60" fillId="24" borderId="13" xfId="0" applyNumberFormat="1" applyFont="1" applyFill="1" applyBorder="1" applyAlignment="1">
      <alignment horizontal="center" vertical="center"/>
    </xf>
    <xf numFmtId="3" fontId="60" fillId="24" borderId="14" xfId="0" applyNumberFormat="1" applyFont="1" applyFill="1" applyBorder="1" applyAlignment="1">
      <alignment horizontal="center" vertical="center"/>
    </xf>
    <xf numFmtId="9" fontId="60" fillId="24" borderId="15" xfId="34" applyNumberFormat="1" applyFont="1" applyFill="1" applyBorder="1" applyAlignment="1">
      <alignment horizontal="center" vertical="center"/>
    </xf>
    <xf numFmtId="3" fontId="60" fillId="24" borderId="16" xfId="0" applyNumberFormat="1" applyFont="1" applyFill="1" applyBorder="1" applyAlignment="1">
      <alignment horizontal="center" vertical="center"/>
    </xf>
    <xf numFmtId="9" fontId="60" fillId="24" borderId="16" xfId="34" applyNumberFormat="1" applyFont="1" applyFill="1" applyBorder="1" applyAlignment="1">
      <alignment horizontal="center" vertical="center"/>
    </xf>
    <xf numFmtId="3" fontId="60" fillId="24" borderId="17" xfId="0" applyNumberFormat="1" applyFont="1" applyFill="1" applyBorder="1" applyAlignment="1">
      <alignment horizontal="center" vertical="center"/>
    </xf>
    <xf numFmtId="3" fontId="60" fillId="24" borderId="18" xfId="0" applyNumberFormat="1" applyFont="1" applyFill="1" applyBorder="1" applyAlignment="1">
      <alignment horizontal="center" vertical="center"/>
    </xf>
    <xf numFmtId="3" fontId="60" fillId="24" borderId="19" xfId="0" applyNumberFormat="1" applyFont="1" applyFill="1" applyBorder="1" applyAlignment="1">
      <alignment horizontal="center" vertical="center"/>
    </xf>
    <xf numFmtId="3" fontId="60" fillId="24" borderId="20" xfId="0" applyNumberFormat="1" applyFont="1" applyFill="1" applyBorder="1" applyAlignment="1">
      <alignment horizontal="center" vertical="center"/>
    </xf>
    <xf numFmtId="3" fontId="60" fillId="24" borderId="21" xfId="0" applyNumberFormat="1" applyFont="1" applyFill="1" applyBorder="1" applyAlignment="1">
      <alignment horizontal="center" vertical="center"/>
    </xf>
    <xf numFmtId="3" fontId="60" fillId="24" borderId="22" xfId="0" applyNumberFormat="1" applyFont="1" applyFill="1" applyBorder="1" applyAlignment="1">
      <alignment horizontal="center" vertical="center"/>
    </xf>
    <xf numFmtId="3" fontId="59" fillId="25" borderId="23" xfId="0" applyNumberFormat="1" applyFont="1" applyFill="1" applyBorder="1" applyAlignment="1">
      <alignment horizontal="center" vertical="center"/>
    </xf>
    <xf numFmtId="3" fontId="59" fillId="25" borderId="11" xfId="0" applyNumberFormat="1" applyFont="1" applyFill="1" applyBorder="1" applyAlignment="1">
      <alignment horizontal="center" vertical="center"/>
    </xf>
    <xf numFmtId="3" fontId="60" fillId="24" borderId="15" xfId="0" applyNumberFormat="1" applyFont="1" applyFill="1" applyBorder="1" applyAlignment="1">
      <alignment horizontal="center" vertical="center"/>
    </xf>
    <xf numFmtId="165" fontId="60" fillId="24" borderId="15" xfId="19" applyNumberFormat="1" applyFont="1" applyFill="1" applyBorder="1" applyAlignment="1">
      <alignment horizontal="center" vertical="center"/>
    </xf>
    <xf numFmtId="3" fontId="60" fillId="24" borderId="24" xfId="0" applyNumberFormat="1" applyFont="1" applyFill="1" applyBorder="1" applyAlignment="1">
      <alignment horizontal="center" vertical="center"/>
    </xf>
    <xf numFmtId="3" fontId="60" fillId="24" borderId="25" xfId="0" applyNumberFormat="1" applyFont="1" applyFill="1" applyBorder="1" applyAlignment="1">
      <alignment horizontal="center" vertical="center"/>
    </xf>
    <xf numFmtId="3" fontId="59" fillId="25" borderId="26" xfId="0" applyNumberFormat="1" applyFont="1" applyFill="1" applyBorder="1" applyAlignment="1">
      <alignment horizontal="center" vertical="center"/>
    </xf>
    <xf numFmtId="3" fontId="59" fillId="25" borderId="27" xfId="0" applyNumberFormat="1" applyFont="1" applyFill="1" applyBorder="1" applyAlignment="1">
      <alignment horizontal="center" vertical="center"/>
    </xf>
    <xf numFmtId="165" fontId="60" fillId="24" borderId="16" xfId="19" applyNumberFormat="1" applyFont="1" applyFill="1" applyBorder="1" applyAlignment="1">
      <alignment horizontal="center" vertical="center"/>
    </xf>
    <xf numFmtId="3" fontId="60" fillId="24" borderId="28" xfId="0" applyNumberFormat="1" applyFont="1" applyFill="1" applyBorder="1" applyAlignment="1">
      <alignment horizontal="center" vertical="center"/>
    </xf>
    <xf numFmtId="3" fontId="60" fillId="24" borderId="29" xfId="0" applyNumberFormat="1" applyFont="1" applyFill="1" applyBorder="1" applyAlignment="1">
      <alignment horizontal="center" vertical="center"/>
    </xf>
    <xf numFmtId="3" fontId="60" fillId="24" borderId="30" xfId="0" applyNumberFormat="1" applyFont="1" applyFill="1" applyBorder="1" applyAlignment="1">
      <alignment horizontal="center" vertical="center"/>
    </xf>
    <xf numFmtId="3" fontId="60" fillId="24" borderId="31" xfId="0" applyNumberFormat="1" applyFont="1" applyFill="1" applyBorder="1" applyAlignment="1">
      <alignment horizontal="center" vertical="center"/>
    </xf>
    <xf numFmtId="3" fontId="60" fillId="24" borderId="32" xfId="0" applyNumberFormat="1" applyFont="1" applyFill="1" applyBorder="1" applyAlignment="1">
      <alignment horizontal="center" vertical="center"/>
    </xf>
    <xf numFmtId="3" fontId="60" fillId="24" borderId="33" xfId="0" applyNumberFormat="1" applyFont="1" applyFill="1" applyBorder="1" applyAlignment="1">
      <alignment horizontal="center" vertical="center"/>
    </xf>
    <xf numFmtId="3" fontId="59" fillId="25" borderId="34" xfId="0" applyNumberFormat="1" applyFont="1" applyFill="1" applyBorder="1" applyAlignment="1">
      <alignment horizontal="center" vertical="center"/>
    </xf>
    <xf numFmtId="3" fontId="59" fillId="25" borderId="35" xfId="0" applyNumberFormat="1" applyFont="1" applyFill="1" applyBorder="1" applyAlignment="1">
      <alignment horizontal="center" vertical="center"/>
    </xf>
    <xf numFmtId="3" fontId="60" fillId="24" borderId="36" xfId="0" applyNumberFormat="1" applyFont="1" applyFill="1" applyBorder="1" applyAlignment="1">
      <alignment horizontal="center" vertical="center"/>
    </xf>
    <xf numFmtId="3" fontId="60" fillId="24" borderId="37" xfId="0" applyNumberFormat="1" applyFont="1" applyFill="1" applyBorder="1" applyAlignment="1">
      <alignment horizontal="center" vertical="center"/>
    </xf>
    <xf numFmtId="3" fontId="60" fillId="24" borderId="15" xfId="0" applyNumberFormat="1" applyFont="1" applyFill="1" applyBorder="1" applyAlignment="1">
      <alignment horizontal="center" vertical="center"/>
    </xf>
    <xf numFmtId="3" fontId="60" fillId="24" borderId="38" xfId="0" applyNumberFormat="1" applyFont="1" applyFill="1" applyBorder="1" applyAlignment="1">
      <alignment horizontal="center" vertical="center"/>
    </xf>
    <xf numFmtId="3" fontId="60" fillId="24" borderId="34" xfId="0" applyNumberFormat="1" applyFont="1" applyFill="1" applyBorder="1" applyAlignment="1">
      <alignment horizontal="center" vertical="center"/>
    </xf>
    <xf numFmtId="3" fontId="60" fillId="24" borderId="39" xfId="0" applyNumberFormat="1" applyFont="1" applyFill="1" applyBorder="1" applyAlignment="1">
      <alignment horizontal="center" vertical="center"/>
    </xf>
    <xf numFmtId="3" fontId="60" fillId="24" borderId="40" xfId="0" applyNumberFormat="1" applyFont="1" applyFill="1" applyBorder="1" applyAlignment="1">
      <alignment horizontal="center" vertical="center"/>
    </xf>
    <xf numFmtId="3" fontId="60" fillId="24" borderId="25" xfId="0" applyNumberFormat="1" applyFont="1" applyFill="1" applyBorder="1" applyAlignment="1">
      <alignment horizontal="center" vertical="center"/>
    </xf>
    <xf numFmtId="166" fontId="0" fillId="0" borderId="0" xfId="0" applyNumberFormat="1"/>
    <xf numFmtId="3" fontId="59" fillId="25" borderId="26" xfId="0" applyNumberFormat="1" applyFont="1" applyFill="1" applyBorder="1" applyAlignment="1">
      <alignment horizontal="center" vertical="center"/>
    </xf>
    <xf numFmtId="9" fontId="60" fillId="24" borderId="28" xfId="34" applyNumberFormat="1" applyFont="1" applyFill="1" applyBorder="1" applyAlignment="1">
      <alignment horizontal="center" vertical="center"/>
    </xf>
    <xf numFmtId="3" fontId="60" fillId="24" borderId="28" xfId="0" applyNumberFormat="1" applyFont="1" applyFill="1" applyBorder="1" applyAlignment="1">
      <alignment horizontal="center" vertical="center"/>
    </xf>
    <xf numFmtId="3" fontId="0" fillId="0" borderId="0" xfId="0" applyNumberFormat="1"/>
    <xf numFmtId="9" fontId="0" fillId="0" borderId="0" xfId="34" applyNumberFormat="1" applyFont="1"/>
    <xf numFmtId="165" fontId="0" fillId="0" borderId="0" xfId="19" applyNumberFormat="1" applyFont="1"/>
    <xf numFmtId="165" fontId="56" fillId="26" borderId="0" xfId="19" applyNumberFormat="1" applyFill="1"/>
    <xf numFmtId="0" fontId="0" fillId="26" borderId="0" xfId="0" applyFill="1"/>
    <xf numFmtId="0" fontId="61" fillId="26" borderId="0" xfId="0" applyFont="1" applyFill="1"/>
    <xf numFmtId="0" fontId="1" fillId="26" borderId="0" xfId="0" applyFont="1" applyFill="1" applyAlignment="1"/>
    <xf numFmtId="0" fontId="0" fillId="26" borderId="0" xfId="0" applyFill="1" applyAlignment="1">
      <alignment horizontal="center"/>
    </xf>
    <xf numFmtId="0" fontId="1" fillId="26" borderId="0" xfId="0" applyFont="1" applyFill="1" applyAlignment="1">
      <alignment horizontal="left"/>
    </xf>
    <xf numFmtId="0" fontId="1" fillId="26" borderId="0" xfId="0" applyFont="1" applyFill="1" applyAlignment="1">
      <alignment horizontal="center"/>
    </xf>
    <xf numFmtId="0" fontId="2" fillId="27" borderId="15" xfId="0" applyFont="1" applyFill="1" applyBorder="1" applyAlignment="1">
      <alignment horizontal="center"/>
    </xf>
    <xf numFmtId="0" fontId="2" fillId="26" borderId="13" xfId="0" applyFont="1" applyFill="1" applyBorder="1" applyAlignment="1">
      <alignment horizontal="center"/>
    </xf>
    <xf numFmtId="165" fontId="56" fillId="26" borderId="41" xfId="19" applyNumberFormat="1" applyFill="1" applyBorder="1" applyAlignment="1">
      <alignment horizontal="center"/>
    </xf>
    <xf numFmtId="165" fontId="56" fillId="26" borderId="0" xfId="19" applyNumberFormat="1" applyFill="1" applyAlignment="1">
      <alignment horizontal="center"/>
    </xf>
    <xf numFmtId="165" fontId="56" fillId="26" borderId="15" xfId="19" applyNumberFormat="1" applyFill="1" applyBorder="1" applyAlignment="1">
      <alignment horizontal="center"/>
    </xf>
    <xf numFmtId="165" fontId="56" fillId="26" borderId="13" xfId="19" applyNumberFormat="1" applyFill="1" applyBorder="1" applyAlignment="1">
      <alignment horizontal="center"/>
    </xf>
    <xf numFmtId="165" fontId="56" fillId="26" borderId="42" xfId="19" applyNumberFormat="1" applyFill="1" applyBorder="1" applyAlignment="1">
      <alignment horizontal="center"/>
    </xf>
    <xf numFmtId="165" fontId="56" fillId="26" borderId="13" xfId="19" applyNumberFormat="1" applyFill="1" applyBorder="1" applyAlignment="1">
      <alignment horizontal="center"/>
    </xf>
    <xf numFmtId="165" fontId="62" fillId="26" borderId="43" xfId="19" applyNumberFormat="1" applyFont="1" applyFill="1" applyBorder="1" applyAlignment="1">
      <alignment horizontal="center"/>
    </xf>
    <xf numFmtId="165" fontId="0" fillId="26" borderId="0" xfId="0" applyNumberFormat="1" applyFill="1"/>
    <xf numFmtId="43" fontId="2" fillId="27" borderId="15" xfId="19" applyNumberFormat="1" applyFont="1" applyFill="1" applyBorder="1" applyAlignment="1">
      <alignment horizontal="center"/>
    </xf>
    <xf numFmtId="0" fontId="0" fillId="26" borderId="28" xfId="0" applyFill="1" applyBorder="1"/>
    <xf numFmtId="165" fontId="56" fillId="26" borderId="43" xfId="19" applyNumberFormat="1" applyFill="1" applyBorder="1" applyAlignment="1">
      <alignment horizontal="center"/>
    </xf>
    <xf numFmtId="165" fontId="56" fillId="26" borderId="0" xfId="19" applyNumberFormat="1" applyFill="1" applyBorder="1" applyAlignment="1">
      <alignment horizontal="center"/>
    </xf>
    <xf numFmtId="165" fontId="56" fillId="26" borderId="0" xfId="19" applyNumberFormat="1" applyFill="1" applyBorder="1" applyAlignment="1">
      <alignment horizontal="right"/>
    </xf>
    <xf numFmtId="165" fontId="61" fillId="26" borderId="0" xfId="19" applyNumberFormat="1" applyFont="1" applyFill="1"/>
    <xf numFmtId="165" fontId="56" fillId="26" borderId="0" xfId="19" applyNumberFormat="1" applyFill="1" applyAlignment="1">
      <alignment horizontal="right"/>
    </xf>
    <xf numFmtId="165" fontId="61" fillId="26" borderId="0" xfId="19" applyNumberFormat="1" applyFont="1" applyFill="1"/>
    <xf numFmtId="165" fontId="56" fillId="26" borderId="28" xfId="19" applyNumberFormat="1" applyFill="1" applyBorder="1" applyAlignment="1">
      <alignment horizontal="center"/>
    </xf>
    <xf numFmtId="165" fontId="56" fillId="26" borderId="28" xfId="19" applyNumberFormat="1" applyFill="1" applyBorder="1"/>
    <xf numFmtId="165" fontId="62" fillId="26" borderId="0" xfId="0" applyNumberFormat="1" applyFont="1" applyFill="1" applyAlignment="1">
      <alignment horizontal="right"/>
    </xf>
    <xf numFmtId="165" fontId="56" fillId="26" borderId="0" xfId="19" applyNumberFormat="1" applyFill="1" applyBorder="1" applyAlignment="1">
      <alignment horizontal="center"/>
    </xf>
    <xf numFmtId="165" fontId="56" fillId="26" borderId="0" xfId="19" applyNumberFormat="1" applyFill="1" applyBorder="1" applyAlignment="1">
      <alignment horizontal="center"/>
    </xf>
    <xf numFmtId="165" fontId="56" fillId="26" borderId="0" xfId="19" applyNumberFormat="1" applyFill="1" applyBorder="1" applyAlignment="1">
      <alignment horizontal="center"/>
    </xf>
    <xf numFmtId="165" fontId="56" fillId="26" borderId="0" xfId="19" applyNumberFormat="1" applyFill="1" applyBorder="1"/>
    <xf numFmtId="165" fontId="62" fillId="26" borderId="0" xfId="19" applyNumberFormat="1" applyFont="1" applyFill="1" applyAlignment="1">
      <alignment horizontal="right"/>
    </xf>
    <xf numFmtId="165" fontId="56" fillId="26" borderId="0" xfId="19" applyNumberFormat="1" applyFill="1" applyBorder="1" applyAlignment="1">
      <alignment horizontal="center"/>
    </xf>
    <xf numFmtId="165" fontId="56" fillId="26" borderId="0" xfId="19" applyNumberFormat="1" applyFill="1" applyBorder="1" applyAlignment="1">
      <alignment horizontal="center"/>
    </xf>
    <xf numFmtId="0" fontId="62" fillId="26" borderId="0" xfId="0" applyNumberFormat="1" applyFont="1" applyFill="1" applyAlignment="1">
      <alignment horizontal="right"/>
    </xf>
    <xf numFmtId="165" fontId="56" fillId="26" borderId="0" xfId="19" applyNumberFormat="1" applyFill="1" applyBorder="1" applyAlignment="1">
      <alignment horizontal="right"/>
    </xf>
    <xf numFmtId="0" fontId="0" fillId="26" borderId="0" xfId="0" applyFill="1" applyAlignment="1">
      <alignment vertical="center"/>
    </xf>
    <xf numFmtId="0" fontId="3" fillId="26" borderId="0" xfId="0" applyFont="1" applyFill="1" applyAlignment="1">
      <alignment vertical="center"/>
    </xf>
    <xf numFmtId="0" fontId="0" fillId="26" borderId="0" xfId="0" applyFill="1" applyAlignment="1">
      <alignment horizontal="center" vertical="center"/>
    </xf>
    <xf numFmtId="43" fontId="56" fillId="26" borderId="0" xfId="19" applyNumberFormat="1" applyFont="1" applyFill="1" applyAlignment="1">
      <alignment vertical="center"/>
    </xf>
    <xf numFmtId="167" fontId="56" fillId="26" borderId="0" xfId="19" applyNumberFormat="1" applyFont="1" applyFill="1" applyAlignment="1">
      <alignment vertical="center"/>
    </xf>
    <xf numFmtId="0" fontId="4" fillId="26" borderId="0" xfId="0" applyFont="1" applyFill="1" applyAlignment="1">
      <alignment vertical="center"/>
    </xf>
    <xf numFmtId="0" fontId="6" fillId="26" borderId="0" xfId="0" applyFont="1" applyFill="1" applyAlignment="1">
      <alignment horizontal="center" vertical="center"/>
    </xf>
    <xf numFmtId="0" fontId="6" fillId="26" borderId="0" xfId="0" applyFont="1" applyFill="1" applyAlignment="1">
      <alignment vertical="center"/>
    </xf>
    <xf numFmtId="0" fontId="7" fillId="28" borderId="44" xfId="0" applyFont="1" applyFill="1" applyBorder="1" applyAlignment="1">
      <alignment vertical="center"/>
    </xf>
    <xf numFmtId="0" fontId="7" fillId="28" borderId="45" xfId="0" applyFont="1" applyFill="1" applyBorder="1" applyAlignment="1">
      <alignment vertical="center"/>
    </xf>
    <xf numFmtId="0" fontId="7" fillId="28" borderId="46" xfId="0" applyFont="1" applyFill="1" applyBorder="1" applyAlignment="1">
      <alignment vertical="center"/>
    </xf>
    <xf numFmtId="0" fontId="8" fillId="26" borderId="0" xfId="0" applyFont="1" applyFill="1" applyAlignment="1">
      <alignment horizontal="left" vertical="center"/>
    </xf>
    <xf numFmtId="0" fontId="10" fillId="28" borderId="47" xfId="0" applyFont="1" applyFill="1" applyBorder="1" applyAlignment="1">
      <alignment vertical="center"/>
    </xf>
    <xf numFmtId="168" fontId="10" fillId="28" borderId="0" xfId="0" applyNumberFormat="1" applyFont="1" applyFill="1" applyBorder="1" applyAlignment="1">
      <alignment vertical="center"/>
    </xf>
    <xf numFmtId="0" fontId="11" fillId="28" borderId="48" xfId="0" applyFont="1" applyFill="1" applyBorder="1" applyAlignment="1">
      <alignment vertical="center"/>
    </xf>
    <xf numFmtId="168" fontId="10" fillId="28" borderId="48" xfId="0" applyNumberFormat="1" applyFont="1" applyFill="1" applyBorder="1" applyAlignment="1">
      <alignment vertical="center"/>
    </xf>
    <xf numFmtId="0" fontId="13" fillId="26" borderId="0" xfId="0" applyFont="1" applyFill="1" applyBorder="1" applyAlignment="1">
      <alignment horizontal="center" vertical="center" wrapText="1"/>
    </xf>
    <xf numFmtId="0" fontId="10" fillId="28" borderId="49" xfId="0" applyFont="1" applyFill="1" applyBorder="1" applyAlignment="1">
      <alignment vertical="center"/>
    </xf>
    <xf numFmtId="0" fontId="10" fillId="26" borderId="26" xfId="0" applyFont="1" applyFill="1" applyBorder="1" applyAlignment="1" applyProtection="1">
      <alignment horizontal="center" vertical="center"/>
    </xf>
    <xf numFmtId="0" fontId="10" fillId="26" borderId="12" xfId="0" applyFont="1" applyFill="1" applyBorder="1" applyAlignment="1" applyProtection="1">
      <alignment horizontal="center" vertical="center"/>
    </xf>
    <xf numFmtId="1" fontId="4" fillId="26" borderId="50" xfId="0" applyNumberFormat="1" applyFont="1" applyFill="1" applyBorder="1" applyAlignment="1">
      <alignment horizontal="center" vertical="center" wrapText="1"/>
    </xf>
    <xf numFmtId="0" fontId="15" fillId="26" borderId="51" xfId="0" applyFont="1" applyFill="1" applyBorder="1" applyAlignment="1">
      <alignment horizontal="center" vertical="center"/>
    </xf>
    <xf numFmtId="0" fontId="15" fillId="26" borderId="52" xfId="0" applyFont="1" applyFill="1" applyBorder="1" applyAlignment="1">
      <alignment horizontal="center" vertical="center"/>
    </xf>
    <xf numFmtId="0" fontId="63" fillId="26" borderId="53" xfId="0" applyFont="1" applyFill="1" applyBorder="1" applyAlignment="1">
      <alignment horizontal="center" vertical="center"/>
    </xf>
    <xf numFmtId="1" fontId="15" fillId="26" borderId="19" xfId="0" applyNumberFormat="1" applyFont="1" applyFill="1" applyBorder="1" applyAlignment="1">
      <alignment horizontal="center" vertical="center"/>
    </xf>
    <xf numFmtId="1" fontId="0" fillId="26" borderId="16" xfId="0" applyNumberFormat="1" applyFont="1" applyFill="1" applyBorder="1" applyAlignment="1">
      <alignment horizontal="center" vertical="center" wrapText="1"/>
    </xf>
    <xf numFmtId="0" fontId="15" fillId="26" borderId="54" xfId="0" applyFont="1" applyFill="1" applyBorder="1" applyAlignment="1">
      <alignment horizontal="center" vertical="center"/>
    </xf>
    <xf numFmtId="0" fontId="15" fillId="26" borderId="53" xfId="0" applyFont="1" applyFill="1" applyBorder="1" applyAlignment="1">
      <alignment horizontal="center" vertical="center"/>
    </xf>
    <xf numFmtId="0" fontId="15" fillId="26" borderId="19" xfId="0" applyFont="1" applyFill="1" applyBorder="1" applyAlignment="1">
      <alignment horizontal="center" vertical="center"/>
    </xf>
    <xf numFmtId="0" fontId="17" fillId="26" borderId="18" xfId="32" applyFont="1" applyFill="1" applyBorder="1" applyAlignment="1">
      <alignment horizontal="left"/>
    </xf>
    <xf numFmtId="0" fontId="17" fillId="26" borderId="10" xfId="0" applyFont="1" applyFill="1" applyBorder="1" applyAlignment="1">
      <alignment vertical="center"/>
    </xf>
    <xf numFmtId="0" fontId="18" fillId="26" borderId="11" xfId="0" applyFont="1" applyFill="1" applyBorder="1" applyAlignment="1">
      <alignment vertical="center"/>
    </xf>
    <xf numFmtId="0" fontId="19" fillId="26" borderId="12" xfId="0" applyFont="1" applyFill="1" applyBorder="1" applyAlignment="1">
      <alignment vertical="center"/>
    </xf>
    <xf numFmtId="0" fontId="19" fillId="26" borderId="12" xfId="0" applyFont="1" applyFill="1" applyBorder="1" applyAlignment="1">
      <alignment horizontal="center" vertical="center"/>
    </xf>
    <xf numFmtId="0" fontId="18" fillId="26" borderId="26" xfId="0" applyFont="1" applyFill="1" applyBorder="1" applyAlignment="1">
      <alignment vertical="center"/>
    </xf>
    <xf numFmtId="0" fontId="14" fillId="26" borderId="55" xfId="0" applyFont="1" applyFill="1" applyBorder="1" applyAlignment="1">
      <alignment vertical="center"/>
    </xf>
    <xf numFmtId="0" fontId="0" fillId="26" borderId="0" xfId="0" applyFill="1" applyBorder="1" applyAlignment="1">
      <alignment vertical="center"/>
    </xf>
    <xf numFmtId="0" fontId="0" fillId="26" borderId="0" xfId="0" applyFill="1" applyBorder="1" applyAlignment="1">
      <alignment horizontal="center" vertical="center"/>
    </xf>
    <xf numFmtId="0" fontId="10" fillId="26" borderId="44" xfId="0" applyFont="1" applyFill="1" applyBorder="1" applyAlignment="1" applyProtection="1">
      <alignment vertical="center" wrapText="1"/>
    </xf>
    <xf numFmtId="0" fontId="10" fillId="26" borderId="47" xfId="0" applyFont="1" applyFill="1" applyBorder="1" applyAlignment="1" applyProtection="1">
      <alignment vertical="center" wrapText="1"/>
    </xf>
    <xf numFmtId="0" fontId="10" fillId="26" borderId="56" xfId="0" applyFont="1" applyFill="1" applyBorder="1" applyAlignment="1">
      <alignment vertical="center"/>
    </xf>
    <xf numFmtId="0" fontId="10" fillId="26" borderId="57" xfId="0" applyFont="1" applyFill="1" applyBorder="1" applyAlignment="1" applyProtection="1">
      <alignment vertical="center"/>
    </xf>
    <xf numFmtId="0" fontId="10" fillId="26" borderId="47" xfId="0" applyFont="1" applyFill="1" applyBorder="1" applyAlignment="1" applyProtection="1">
      <alignment vertical="center"/>
    </xf>
    <xf numFmtId="0" fontId="64" fillId="26" borderId="57" xfId="0" applyFont="1" applyFill="1" applyBorder="1" applyAlignment="1" applyProtection="1">
      <alignment vertical="center" wrapText="1"/>
    </xf>
    <xf numFmtId="0" fontId="10" fillId="26" borderId="47" xfId="0" applyFont="1" applyFill="1" applyBorder="1" applyAlignment="1"/>
    <xf numFmtId="0" fontId="4" fillId="26" borderId="0" xfId="0" applyFont="1" applyFill="1" applyBorder="1" applyAlignment="1">
      <alignment vertical="center"/>
    </xf>
    <xf numFmtId="0" fontId="10" fillId="26" borderId="47" xfId="0" applyFont="1" applyFill="1" applyBorder="1" applyAlignment="1">
      <alignment horizontal="left" vertical="center"/>
    </xf>
    <xf numFmtId="0" fontId="1" fillId="26" borderId="0" xfId="0" applyFont="1" applyFill="1" applyBorder="1" applyAlignment="1">
      <alignment vertical="center"/>
    </xf>
    <xf numFmtId="0" fontId="22" fillId="26" borderId="49" xfId="0" applyFont="1" applyFill="1" applyBorder="1" applyAlignment="1">
      <alignment vertical="center"/>
    </xf>
    <xf numFmtId="0" fontId="10" fillId="26" borderId="58" xfId="0" applyFont="1" applyFill="1" applyBorder="1" applyAlignment="1">
      <alignment horizontal="center" vertical="center"/>
    </xf>
    <xf numFmtId="0" fontId="22" fillId="26" borderId="0" xfId="0" applyFont="1" applyFill="1" applyBorder="1" applyAlignment="1">
      <alignment vertical="center"/>
    </xf>
    <xf numFmtId="0" fontId="10" fillId="26" borderId="0" xfId="0" applyFont="1" applyFill="1" applyBorder="1" applyAlignment="1">
      <alignment horizontal="left" vertical="center"/>
    </xf>
    <xf numFmtId="0" fontId="2" fillId="26" borderId="0" xfId="0" applyFont="1" applyFill="1" applyBorder="1" applyAlignment="1">
      <alignment horizontal="center" vertical="center"/>
    </xf>
    <xf numFmtId="0" fontId="23" fillId="26" borderId="0" xfId="0" applyFont="1" applyFill="1" applyBorder="1" applyAlignment="1">
      <alignment horizontal="center" vertical="center"/>
    </xf>
    <xf numFmtId="0" fontId="11" fillId="26" borderId="47" xfId="0" applyFont="1" applyFill="1" applyBorder="1" applyAlignment="1">
      <alignment vertical="center"/>
    </xf>
    <xf numFmtId="0" fontId="11" fillId="26" borderId="48" xfId="0" applyFont="1" applyFill="1" applyBorder="1" applyAlignment="1">
      <alignment vertical="center"/>
    </xf>
    <xf numFmtId="0" fontId="26" fillId="26" borderId="44" xfId="0" applyFont="1" applyFill="1" applyBorder="1" applyAlignment="1">
      <alignment vertical="center"/>
    </xf>
    <xf numFmtId="0" fontId="11" fillId="26" borderId="45" xfId="0" applyFont="1" applyFill="1" applyBorder="1" applyAlignment="1">
      <alignment vertical="center"/>
    </xf>
    <xf numFmtId="0" fontId="27" fillId="26" borderId="46" xfId="0" applyFont="1" applyFill="1" applyBorder="1" applyAlignment="1">
      <alignment vertical="center"/>
    </xf>
    <xf numFmtId="0" fontId="11" fillId="26" borderId="0" xfId="0" applyFont="1" applyFill="1" applyBorder="1" applyAlignment="1">
      <alignment vertical="center"/>
    </xf>
    <xf numFmtId="0" fontId="22" fillId="26" borderId="48" xfId="0" applyFont="1" applyFill="1" applyBorder="1" applyAlignment="1">
      <alignment vertical="center"/>
    </xf>
    <xf numFmtId="0" fontId="27" fillId="26" borderId="47" xfId="0" applyFont="1" applyFill="1" applyBorder="1" applyAlignment="1">
      <alignment horizontal="center" vertical="center"/>
    </xf>
    <xf numFmtId="0" fontId="27" fillId="26" borderId="0" xfId="0" applyFont="1" applyFill="1" applyBorder="1" applyAlignment="1">
      <alignment horizontal="center" vertical="center"/>
    </xf>
    <xf numFmtId="0" fontId="22" fillId="26" borderId="47" xfId="0" applyFont="1" applyFill="1" applyBorder="1" applyAlignment="1">
      <alignment horizontal="center" vertical="center"/>
    </xf>
    <xf numFmtId="0" fontId="22" fillId="26" borderId="0" xfId="0" applyFont="1" applyFill="1" applyBorder="1" applyAlignment="1">
      <alignment horizontal="center" vertical="center"/>
    </xf>
    <xf numFmtId="0" fontId="0" fillId="26" borderId="47" xfId="0" applyFill="1" applyBorder="1" applyAlignment="1">
      <alignment vertical="center"/>
    </xf>
    <xf numFmtId="0" fontId="15" fillId="26" borderId="47" xfId="0" applyFont="1" applyFill="1" applyBorder="1" applyAlignment="1">
      <alignment vertical="center"/>
    </xf>
    <xf numFmtId="0" fontId="15" fillId="26" borderId="0" xfId="0" applyFont="1" applyFill="1" applyBorder="1" applyAlignment="1">
      <alignment vertical="center"/>
    </xf>
    <xf numFmtId="0" fontId="11" fillId="26" borderId="49" xfId="0" applyFont="1" applyFill="1" applyBorder="1" applyAlignment="1">
      <alignment vertical="center"/>
    </xf>
    <xf numFmtId="0" fontId="11" fillId="26" borderId="59" xfId="0" applyFont="1" applyFill="1" applyBorder="1" applyAlignment="1">
      <alignment vertical="center"/>
    </xf>
    <xf numFmtId="0" fontId="26" fillId="26" borderId="49" xfId="0" applyFont="1" applyFill="1" applyBorder="1" applyAlignment="1">
      <alignment horizontal="right"/>
    </xf>
    <xf numFmtId="0" fontId="10" fillId="26" borderId="58" xfId="0" applyFont="1" applyFill="1" applyBorder="1" applyAlignment="1">
      <alignment vertical="center"/>
    </xf>
    <xf numFmtId="0" fontId="28" fillId="26" borderId="59" xfId="0" applyFont="1" applyFill="1" applyBorder="1" applyAlignment="1">
      <alignment vertical="center"/>
    </xf>
    <xf numFmtId="0" fontId="17" fillId="26" borderId="49" xfId="0" applyFont="1" applyFill="1" applyBorder="1" applyAlignment="1">
      <alignment vertical="center"/>
    </xf>
    <xf numFmtId="0" fontId="11" fillId="26" borderId="58" xfId="0" applyFont="1" applyFill="1" applyBorder="1" applyAlignment="1">
      <alignment vertical="center"/>
    </xf>
    <xf numFmtId="0" fontId="30" fillId="26" borderId="0" xfId="0" applyFont="1" applyFill="1" applyAlignment="1">
      <alignment horizontal="center" vertical="center"/>
    </xf>
    <xf numFmtId="1" fontId="31" fillId="26" borderId="19" xfId="33" applyNumberFormat="1" applyFont="1" applyFill="1" applyBorder="1" applyAlignment="1">
      <alignment horizontal="center" vertical="center"/>
    </xf>
    <xf numFmtId="1" fontId="31" fillId="26" borderId="60" xfId="33" applyNumberFormat="1" applyFont="1" applyFill="1" applyBorder="1" applyAlignment="1">
      <alignment horizontal="center" vertical="center"/>
    </xf>
    <xf numFmtId="165" fontId="15" fillId="26" borderId="15" xfId="0" applyNumberFormat="1" applyFont="1" applyFill="1" applyBorder="1" applyAlignment="1">
      <alignment horizontal="center" vertical="center"/>
    </xf>
    <xf numFmtId="1" fontId="15" fillId="26" borderId="19" xfId="19" applyNumberFormat="1" applyFont="1" applyFill="1" applyBorder="1" applyAlignment="1">
      <alignment horizontal="center" vertical="center"/>
    </xf>
    <xf numFmtId="0" fontId="31" fillId="26" borderId="19" xfId="33" applyFont="1" applyFill="1" applyBorder="1" applyAlignment="1">
      <alignment horizontal="center" vertical="center"/>
    </xf>
    <xf numFmtId="0" fontId="31" fillId="26" borderId="60" xfId="33" applyFont="1" applyFill="1" applyBorder="1" applyAlignment="1">
      <alignment horizontal="center" vertical="center"/>
    </xf>
    <xf numFmtId="1" fontId="15" fillId="26" borderId="60" xfId="0" applyNumberFormat="1" applyFont="1" applyFill="1" applyBorder="1" applyAlignment="1">
      <alignment horizontal="center" vertical="center"/>
    </xf>
    <xf numFmtId="0" fontId="14" fillId="26" borderId="61" xfId="0" applyFont="1" applyFill="1" applyBorder="1" applyAlignment="1">
      <alignment vertical="center"/>
    </xf>
    <xf numFmtId="0" fontId="15" fillId="26" borderId="15" xfId="0" applyFont="1" applyFill="1" applyBorder="1" applyAlignment="1">
      <alignment horizontal="center" vertical="center"/>
    </xf>
    <xf numFmtId="169" fontId="14" fillId="26" borderId="12" xfId="19" applyNumberFormat="1" applyFont="1" applyFill="1" applyBorder="1" applyAlignment="1">
      <alignment vertical="center"/>
    </xf>
    <xf numFmtId="165" fontId="32" fillId="26" borderId="62" xfId="0" applyNumberFormat="1" applyFont="1" applyFill="1" applyBorder="1" applyAlignment="1">
      <alignment horizontal="center" vertical="center"/>
    </xf>
    <xf numFmtId="0" fontId="4" fillId="26" borderId="63" xfId="0" applyFont="1" applyFill="1" applyBorder="1" applyAlignment="1">
      <alignment horizontal="center" vertical="center" wrapText="1"/>
    </xf>
    <xf numFmtId="0" fontId="15" fillId="26" borderId="51" xfId="0" applyFont="1" applyFill="1" applyBorder="1" applyAlignment="1">
      <alignment horizontal="center" vertical="center" wrapText="1"/>
    </xf>
    <xf numFmtId="165" fontId="1" fillId="26" borderId="64" xfId="19" applyNumberFormat="1" applyFont="1" applyFill="1" applyBorder="1" applyAlignment="1">
      <alignment horizontal="center" vertical="center"/>
    </xf>
    <xf numFmtId="165" fontId="1" fillId="26" borderId="50" xfId="19" applyNumberFormat="1" applyFont="1" applyFill="1" applyBorder="1" applyAlignment="1">
      <alignment horizontal="center" vertical="center"/>
    </xf>
    <xf numFmtId="165" fontId="1" fillId="26" borderId="18" xfId="19" applyNumberFormat="1" applyFont="1" applyFill="1" applyBorder="1" applyAlignment="1">
      <alignment horizontal="center" vertical="center"/>
    </xf>
    <xf numFmtId="165" fontId="1" fillId="26" borderId="19" xfId="19" applyNumberFormat="1" applyFont="1" applyFill="1" applyBorder="1" applyAlignment="1">
      <alignment horizontal="center" vertical="center"/>
    </xf>
    <xf numFmtId="165" fontId="4" fillId="26" borderId="62" xfId="19" applyNumberFormat="1" applyFont="1" applyFill="1" applyBorder="1" applyAlignment="1">
      <alignment horizontal="center" vertical="center"/>
    </xf>
    <xf numFmtId="165" fontId="4" fillId="26" borderId="65" xfId="19" applyNumberFormat="1" applyFont="1" applyFill="1" applyBorder="1" applyAlignment="1">
      <alignment horizontal="center" vertical="center"/>
    </xf>
    <xf numFmtId="0" fontId="1" fillId="26" borderId="0" xfId="0" applyFont="1" applyFill="1" applyBorder="1" applyAlignment="1">
      <alignment horizontal="center" vertical="center"/>
    </xf>
    <xf numFmtId="9" fontId="1" fillId="26" borderId="0" xfId="34" applyFont="1" applyFill="1" applyBorder="1" applyAlignment="1">
      <alignment horizontal="center" vertical="center"/>
    </xf>
    <xf numFmtId="0" fontId="11" fillId="26" borderId="44" xfId="0" applyFont="1" applyFill="1" applyBorder="1" applyAlignment="1">
      <alignment vertical="center"/>
    </xf>
    <xf numFmtId="0" fontId="11" fillId="26" borderId="45" xfId="0" applyFont="1" applyFill="1" applyBorder="1" applyAlignment="1">
      <alignment vertical="center" wrapText="1"/>
    </xf>
    <xf numFmtId="0" fontId="11" fillId="26" borderId="45" xfId="0" applyFont="1" applyFill="1" applyBorder="1" applyAlignment="1">
      <alignment vertical="center" wrapText="1"/>
    </xf>
    <xf numFmtId="0" fontId="11" fillId="26" borderId="47" xfId="0" applyFont="1" applyFill="1" applyBorder="1" applyAlignment="1">
      <alignment vertical="center" wrapText="1"/>
    </xf>
    <xf numFmtId="0" fontId="11" fillId="26" borderId="0" xfId="0" applyFont="1" applyFill="1" applyBorder="1" applyAlignment="1">
      <alignment vertical="center" wrapText="1"/>
    </xf>
    <xf numFmtId="0" fontId="11" fillId="26" borderId="0" xfId="0" applyFont="1" applyFill="1" applyBorder="1" applyAlignment="1">
      <alignment vertical="center" wrapText="1"/>
    </xf>
    <xf numFmtId="0" fontId="11" fillId="26" borderId="46" xfId="0" applyFont="1" applyFill="1" applyBorder="1" applyAlignment="1">
      <alignment vertical="center"/>
    </xf>
    <xf numFmtId="0" fontId="28" fillId="26" borderId="45" xfId="0" applyFont="1" applyFill="1" applyBorder="1" applyAlignment="1">
      <alignment vertical="center"/>
    </xf>
    <xf numFmtId="0" fontId="11" fillId="26" borderId="45" xfId="0" applyFont="1" applyFill="1" applyBorder="1" applyAlignment="1">
      <alignment vertical="center"/>
    </xf>
    <xf numFmtId="0" fontId="28" fillId="26" borderId="44" xfId="0" applyFont="1" applyFill="1" applyBorder="1" applyAlignment="1">
      <alignment vertical="center"/>
    </xf>
    <xf numFmtId="0" fontId="28" fillId="26" borderId="0" xfId="0" applyFont="1" applyFill="1" applyBorder="1" applyAlignment="1">
      <alignment vertical="center"/>
    </xf>
    <xf numFmtId="0" fontId="11" fillId="26" borderId="0" xfId="0" applyFont="1" applyFill="1" applyBorder="1" applyAlignment="1">
      <alignment vertical="center"/>
    </xf>
    <xf numFmtId="0" fontId="28" fillId="26" borderId="47" xfId="0" applyFont="1" applyFill="1" applyBorder="1" applyAlignment="1">
      <alignment vertical="center"/>
    </xf>
    <xf numFmtId="0" fontId="0" fillId="26" borderId="0" xfId="0" applyFill="1" applyBorder="1" applyAlignment="1">
      <alignment vertical="center"/>
    </xf>
    <xf numFmtId="0" fontId="17" fillId="26" borderId="0" xfId="0" applyFont="1" applyFill="1" applyBorder="1" applyAlignment="1">
      <alignment vertical="center"/>
    </xf>
    <xf numFmtId="0" fontId="17" fillId="26" borderId="0" xfId="0" applyFont="1" applyFill="1" applyBorder="1" applyAlignment="1">
      <alignment vertical="center"/>
    </xf>
    <xf numFmtId="0" fontId="17" fillId="26" borderId="48" xfId="0" applyFont="1" applyFill="1" applyBorder="1" applyAlignment="1">
      <alignment vertical="center"/>
    </xf>
    <xf numFmtId="0" fontId="0" fillId="26" borderId="48" xfId="0" applyFill="1" applyBorder="1" applyAlignment="1">
      <alignment vertical="center"/>
    </xf>
    <xf numFmtId="0" fontId="15" fillId="26" borderId="48" xfId="0" applyFont="1" applyFill="1" applyBorder="1" applyAlignment="1">
      <alignment vertical="center"/>
    </xf>
    <xf numFmtId="0" fontId="15" fillId="26" borderId="0" xfId="0" applyFont="1" applyFill="1" applyBorder="1" applyAlignment="1">
      <alignment vertical="center"/>
    </xf>
    <xf numFmtId="0" fontId="0" fillId="26" borderId="58" xfId="0" applyFill="1" applyBorder="1" applyAlignment="1">
      <alignment vertical="center"/>
    </xf>
    <xf numFmtId="0" fontId="17" fillId="26" borderId="58" xfId="0" applyFont="1" applyFill="1" applyBorder="1" applyAlignment="1">
      <alignment vertical="center"/>
    </xf>
    <xf numFmtId="0" fontId="17" fillId="26" borderId="58" xfId="0" applyFont="1" applyFill="1" applyBorder="1" applyAlignment="1">
      <alignment vertical="center"/>
    </xf>
    <xf numFmtId="0" fontId="17" fillId="26" borderId="59" xfId="0" applyFont="1" applyFill="1" applyBorder="1" applyAlignment="1">
      <alignment vertical="center"/>
    </xf>
    <xf numFmtId="0" fontId="0" fillId="26" borderId="49" xfId="0" applyFill="1" applyBorder="1" applyAlignment="1">
      <alignment vertical="center"/>
    </xf>
    <xf numFmtId="0" fontId="29" fillId="26" borderId="0" xfId="0" applyFont="1" applyFill="1" applyAlignment="1">
      <alignment vertical="center" wrapText="1"/>
    </xf>
    <xf numFmtId="0" fontId="0" fillId="26" borderId="0" xfId="0" applyFont="1" applyFill="1" applyAlignment="1">
      <alignment vertical="center"/>
    </xf>
    <xf numFmtId="0" fontId="30" fillId="26" borderId="0" xfId="0" applyFont="1" applyFill="1" applyAlignment="1">
      <alignment vertical="center"/>
    </xf>
    <xf numFmtId="167" fontId="10" fillId="26" borderId="12" xfId="19" applyNumberFormat="1" applyFont="1" applyFill="1" applyBorder="1" applyAlignment="1">
      <alignment horizontal="center" vertical="center" wrapText="1"/>
    </xf>
    <xf numFmtId="167" fontId="10" fillId="26" borderId="35" xfId="19" applyNumberFormat="1" applyFont="1" applyFill="1" applyBorder="1" applyAlignment="1">
      <alignment horizontal="center" vertical="center" wrapText="1"/>
    </xf>
    <xf numFmtId="44" fontId="15" fillId="26" borderId="30" xfId="22" applyNumberFormat="1" applyFont="1" applyFill="1" applyBorder="1" applyAlignment="1">
      <alignment horizontal="center" vertical="center" wrapText="1"/>
    </xf>
    <xf numFmtId="4" fontId="15" fillId="26" borderId="66" xfId="22" applyNumberFormat="1" applyFont="1" applyFill="1" applyBorder="1" applyAlignment="1">
      <alignment horizontal="center" vertical="center" wrapText="1"/>
    </xf>
    <xf numFmtId="0" fontId="15" fillId="26" borderId="0" xfId="0" applyFont="1" applyFill="1" applyAlignment="1">
      <alignment vertical="center"/>
    </xf>
    <xf numFmtId="170" fontId="14" fillId="26" borderId="26" xfId="22" applyNumberFormat="1" applyFont="1" applyFill="1" applyBorder="1" applyAlignment="1">
      <alignment vertical="center"/>
    </xf>
    <xf numFmtId="4" fontId="14" fillId="26" borderId="67" xfId="22" applyNumberFormat="1" applyFont="1" applyFill="1" applyBorder="1" applyAlignment="1">
      <alignment vertical="center"/>
    </xf>
    <xf numFmtId="170" fontId="33" fillId="26" borderId="68" xfId="22" applyNumberFormat="1" applyFont="1" applyFill="1" applyBorder="1" applyAlignment="1">
      <alignment vertical="center"/>
    </xf>
    <xf numFmtId="4" fontId="32" fillId="26" borderId="69" xfId="22" applyNumberFormat="1" applyFont="1" applyFill="1" applyBorder="1" applyAlignment="1">
      <alignment horizontal="center" vertical="center"/>
    </xf>
    <xf numFmtId="43" fontId="11" fillId="26" borderId="0" xfId="19" applyNumberFormat="1" applyFont="1" applyFill="1" applyBorder="1" applyAlignment="1">
      <alignment vertical="center"/>
    </xf>
    <xf numFmtId="167" fontId="11" fillId="26" borderId="0" xfId="19" applyNumberFormat="1" applyFont="1" applyFill="1" applyBorder="1" applyAlignment="1">
      <alignment vertical="center"/>
    </xf>
    <xf numFmtId="0" fontId="34" fillId="26" borderId="0" xfId="0" applyFont="1" applyFill="1" applyBorder="1" applyAlignment="1">
      <alignment vertical="center"/>
    </xf>
    <xf numFmtId="0" fontId="4" fillId="26" borderId="70" xfId="0" applyFont="1" applyFill="1" applyBorder="1" applyAlignment="1">
      <alignment horizontal="center" vertical="center" wrapText="1"/>
    </xf>
    <xf numFmtId="165" fontId="1" fillId="26" borderId="71" xfId="19" applyNumberFormat="1" applyFont="1" applyFill="1" applyBorder="1" applyAlignment="1">
      <alignment vertical="center"/>
    </xf>
    <xf numFmtId="165" fontId="4" fillId="26" borderId="72" xfId="19" applyNumberFormat="1" applyFont="1" applyFill="1" applyBorder="1" applyAlignment="1">
      <alignment vertical="center"/>
    </xf>
    <xf numFmtId="0" fontId="35" fillId="26" borderId="0" xfId="0" applyFont="1" applyFill="1" applyBorder="1" applyAlignment="1">
      <alignment vertical="center"/>
    </xf>
    <xf numFmtId="165" fontId="1" fillId="26" borderId="66" xfId="19" applyNumberFormat="1" applyFont="1" applyFill="1" applyBorder="1" applyAlignment="1">
      <alignment vertical="center"/>
    </xf>
    <xf numFmtId="165" fontId="4" fillId="26" borderId="34" xfId="19" applyNumberFormat="1" applyFont="1" applyFill="1" applyBorder="1" applyAlignment="1">
      <alignment vertical="center"/>
    </xf>
    <xf numFmtId="165" fontId="4" fillId="26" borderId="69" xfId="19" applyNumberFormat="1" applyFont="1" applyFill="1" applyBorder="1" applyAlignment="1">
      <alignment vertical="center"/>
    </xf>
    <xf numFmtId="0" fontId="65" fillId="26" borderId="73" xfId="0" applyNumberFormat="1" applyFont="1" applyFill="1" applyBorder="1" applyAlignment="1">
      <alignment vertical="center"/>
    </xf>
    <xf numFmtId="0" fontId="11" fillId="26" borderId="46" xfId="0" applyFont="1" applyFill="1" applyBorder="1" applyAlignment="1">
      <alignment vertical="center" wrapText="1"/>
    </xf>
    <xf numFmtId="0" fontId="11" fillId="26" borderId="48" xfId="0" applyFont="1" applyFill="1" applyBorder="1" applyAlignment="1">
      <alignment vertical="center" wrapText="1"/>
    </xf>
    <xf numFmtId="167" fontId="2" fillId="26" borderId="0" xfId="19" applyNumberFormat="1" applyFont="1" applyFill="1" applyAlignment="1">
      <alignment vertical="center"/>
    </xf>
    <xf numFmtId="0" fontId="10" fillId="26" borderId="50" xfId="0" applyFont="1" applyFill="1" applyBorder="1" applyAlignment="1">
      <alignment horizontal="center" vertical="center"/>
    </xf>
    <xf numFmtId="0" fontId="10" fillId="26" borderId="54" xfId="0" applyFont="1" applyFill="1" applyBorder="1" applyAlignment="1">
      <alignment horizontal="center" vertical="center"/>
    </xf>
    <xf numFmtId="0" fontId="10" fillId="26" borderId="44" xfId="0" applyFont="1" applyFill="1" applyBorder="1" applyAlignment="1">
      <alignment horizontal="center" vertical="center"/>
    </xf>
    <xf numFmtId="0" fontId="10" fillId="26" borderId="45" xfId="0" applyFont="1" applyFill="1" applyBorder="1" applyAlignment="1">
      <alignment horizontal="center" vertical="center"/>
    </xf>
    <xf numFmtId="0" fontId="10" fillId="26" borderId="46" xfId="0" applyFont="1" applyFill="1" applyBorder="1" applyAlignment="1">
      <alignment horizontal="center" vertical="center"/>
    </xf>
    <xf numFmtId="0" fontId="5" fillId="26" borderId="0" xfId="0" applyFont="1" applyFill="1" applyAlignment="1">
      <alignment horizontal="left" vertical="center"/>
    </xf>
    <xf numFmtId="0" fontId="4" fillId="26" borderId="0" xfId="0" applyFont="1" applyFill="1" applyAlignment="1">
      <alignment horizontal="center" vertical="center"/>
    </xf>
    <xf numFmtId="0" fontId="9" fillId="26" borderId="0" xfId="0" applyFont="1" applyFill="1" applyBorder="1" applyAlignment="1">
      <alignment horizontal="center" vertical="center"/>
    </xf>
    <xf numFmtId="0" fontId="29" fillId="26" borderId="0" xfId="0" applyFont="1" applyFill="1" applyAlignment="1">
      <alignment horizontal="center" vertical="center" wrapText="1"/>
    </xf>
    <xf numFmtId="0" fontId="12" fillId="29" borderId="16" xfId="0" applyFont="1" applyFill="1" applyBorder="1" applyAlignment="1">
      <alignment horizontal="center" vertical="center"/>
    </xf>
    <xf numFmtId="0" fontId="0" fillId="26" borderId="0" xfId="0" applyFont="1" applyFill="1" applyAlignment="1">
      <alignment horizontal="center" vertical="center"/>
    </xf>
    <xf numFmtId="0" fontId="9" fillId="26" borderId="19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10" fillId="28" borderId="0" xfId="0" applyFont="1" applyFill="1" applyBorder="1" applyAlignment="1">
      <alignment horizontal="left" vertical="center"/>
    </xf>
    <xf numFmtId="0" fontId="10" fillId="28" borderId="48" xfId="0" applyFont="1" applyFill="1" applyBorder="1" applyAlignment="1">
      <alignment horizontal="left" vertical="center"/>
    </xf>
    <xf numFmtId="0" fontId="10" fillId="28" borderId="58" xfId="0" applyFont="1" applyFill="1" applyBorder="1" applyAlignment="1">
      <alignment horizontal="left" vertical="center"/>
    </xf>
    <xf numFmtId="0" fontId="10" fillId="28" borderId="59" xfId="0" applyFont="1" applyFill="1" applyBorder="1" applyAlignment="1">
      <alignment horizontal="left" vertical="center"/>
    </xf>
    <xf numFmtId="0" fontId="10" fillId="26" borderId="74" xfId="0" applyFont="1" applyFill="1" applyBorder="1" applyAlignment="1">
      <alignment horizontal="center" vertical="center"/>
    </xf>
    <xf numFmtId="0" fontId="10" fillId="26" borderId="75" xfId="0" applyFont="1" applyFill="1" applyBorder="1" applyAlignment="1">
      <alignment horizontal="center" vertical="center"/>
    </xf>
    <xf numFmtId="0" fontId="10" fillId="26" borderId="73" xfId="0" applyFont="1" applyFill="1" applyBorder="1" applyAlignment="1">
      <alignment horizontal="center" vertical="center"/>
    </xf>
    <xf numFmtId="0" fontId="4" fillId="26" borderId="44" xfId="0" applyFont="1" applyFill="1" applyBorder="1" applyAlignment="1">
      <alignment horizontal="center" vertical="center" wrapText="1"/>
    </xf>
    <xf numFmtId="0" fontId="4" fillId="26" borderId="45" xfId="0" applyFont="1" applyFill="1" applyBorder="1" applyAlignment="1">
      <alignment horizontal="center" vertical="center" wrapText="1"/>
    </xf>
    <xf numFmtId="0" fontId="4" fillId="26" borderId="76" xfId="0" applyFont="1" applyFill="1" applyBorder="1" applyAlignment="1">
      <alignment horizontal="center" vertical="center" wrapText="1"/>
    </xf>
    <xf numFmtId="0" fontId="4" fillId="26" borderId="46" xfId="0" applyFont="1" applyFill="1" applyBorder="1" applyAlignment="1">
      <alignment horizontal="center" vertical="center" wrapText="1"/>
    </xf>
    <xf numFmtId="0" fontId="10" fillId="26" borderId="71" xfId="0" applyFont="1" applyFill="1" applyBorder="1" applyAlignment="1">
      <alignment horizontal="center" vertical="center"/>
    </xf>
    <xf numFmtId="0" fontId="10" fillId="26" borderId="80" xfId="0" applyFont="1" applyFill="1" applyBorder="1" applyAlignment="1">
      <alignment horizontal="center" vertical="center"/>
    </xf>
    <xf numFmtId="43" fontId="14" fillId="26" borderId="102" xfId="19" applyNumberFormat="1" applyFont="1" applyFill="1" applyBorder="1" applyAlignment="1">
      <alignment horizontal="center" vertical="center" wrapText="1"/>
    </xf>
    <xf numFmtId="43" fontId="14" fillId="26" borderId="41" xfId="19" applyNumberFormat="1" applyFont="1" applyFill="1" applyBorder="1" applyAlignment="1">
      <alignment horizontal="center" vertical="center" wrapText="1"/>
    </xf>
    <xf numFmtId="43" fontId="14" fillId="26" borderId="11" xfId="19" applyNumberFormat="1" applyFont="1" applyFill="1" applyBorder="1" applyAlignment="1">
      <alignment horizontal="center" vertical="center" wrapText="1"/>
    </xf>
    <xf numFmtId="43" fontId="14" fillId="26" borderId="50" xfId="19" applyNumberFormat="1" applyFont="1" applyFill="1" applyBorder="1" applyAlignment="1">
      <alignment horizontal="center" vertical="center" wrapText="1"/>
    </xf>
    <xf numFmtId="43" fontId="14" fillId="26" borderId="93" xfId="19" applyNumberFormat="1" applyFont="1" applyFill="1" applyBorder="1" applyAlignment="1">
      <alignment horizontal="center" vertical="center" wrapText="1"/>
    </xf>
    <xf numFmtId="43" fontId="14" fillId="26" borderId="12" xfId="19" applyNumberFormat="1" applyFont="1" applyFill="1" applyBorder="1" applyAlignment="1">
      <alignment horizontal="center" vertical="center" wrapText="1"/>
    </xf>
    <xf numFmtId="167" fontId="10" fillId="26" borderId="51" xfId="19" applyNumberFormat="1" applyFont="1" applyFill="1" applyBorder="1" applyAlignment="1">
      <alignment horizontal="center" vertical="center" wrapText="1"/>
    </xf>
    <xf numFmtId="167" fontId="10" fillId="26" borderId="16" xfId="19" applyNumberFormat="1" applyFont="1" applyFill="1" applyBorder="1" applyAlignment="1">
      <alignment horizontal="center" vertical="center" wrapText="1"/>
    </xf>
    <xf numFmtId="167" fontId="10" fillId="26" borderId="46" xfId="19" applyNumberFormat="1" applyFont="1" applyFill="1" applyBorder="1" applyAlignment="1">
      <alignment horizontal="center" vertical="center" wrapText="1"/>
    </xf>
    <xf numFmtId="167" fontId="10" fillId="26" borderId="37" xfId="19" applyNumberFormat="1" applyFont="1" applyFill="1" applyBorder="1" applyAlignment="1">
      <alignment horizontal="center" vertical="center" wrapText="1"/>
    </xf>
    <xf numFmtId="0" fontId="4" fillId="26" borderId="72" xfId="0" applyFont="1" applyFill="1" applyBorder="1" applyAlignment="1">
      <alignment horizontal="center" vertical="center" wrapText="1"/>
    </xf>
    <xf numFmtId="0" fontId="4" fillId="26" borderId="97" xfId="0" applyFont="1" applyFill="1" applyBorder="1" applyAlignment="1">
      <alignment horizontal="center" vertical="center" wrapText="1"/>
    </xf>
    <xf numFmtId="0" fontId="10" fillId="26" borderId="46" xfId="0" applyFont="1" applyFill="1" applyBorder="1" applyAlignment="1">
      <alignment horizontal="center" vertical="center" wrapText="1"/>
    </xf>
    <xf numFmtId="0" fontId="10" fillId="26" borderId="0" xfId="0" applyFont="1" applyFill="1" applyBorder="1" applyAlignment="1">
      <alignment horizontal="center" vertical="center" wrapText="1"/>
    </xf>
    <xf numFmtId="0" fontId="10" fillId="26" borderId="58" xfId="0" applyFont="1" applyFill="1" applyBorder="1" applyAlignment="1">
      <alignment horizontal="center" vertical="center" wrapText="1"/>
    </xf>
    <xf numFmtId="0" fontId="10" fillId="26" borderId="96" xfId="0" applyFont="1" applyFill="1" applyBorder="1" applyAlignment="1">
      <alignment horizontal="center" vertical="center"/>
    </xf>
    <xf numFmtId="0" fontId="10" fillId="26" borderId="53" xfId="0" applyFont="1" applyFill="1" applyBorder="1" applyAlignment="1">
      <alignment horizontal="center" vertical="center"/>
    </xf>
    <xf numFmtId="0" fontId="10" fillId="26" borderId="64" xfId="0" applyFont="1" applyFill="1" applyBorder="1" applyAlignment="1">
      <alignment horizontal="center" vertical="center"/>
    </xf>
    <xf numFmtId="0" fontId="10" fillId="26" borderId="79" xfId="0" applyFont="1" applyFill="1" applyBorder="1" applyAlignment="1">
      <alignment horizontal="center" vertical="center"/>
    </xf>
    <xf numFmtId="0" fontId="10" fillId="30" borderId="74" xfId="0" applyFont="1" applyFill="1" applyBorder="1" applyAlignment="1">
      <alignment horizontal="left" vertical="center"/>
    </xf>
    <xf numFmtId="0" fontId="10" fillId="30" borderId="75" xfId="0" applyFont="1" applyFill="1" applyBorder="1" applyAlignment="1">
      <alignment horizontal="left" vertical="center"/>
    </xf>
    <xf numFmtId="0" fontId="10" fillId="30" borderId="73" xfId="0" applyFont="1" applyFill="1" applyBorder="1" applyAlignment="1">
      <alignment horizontal="left" vertical="center"/>
    </xf>
    <xf numFmtId="0" fontId="21" fillId="31" borderId="74" xfId="0" applyFont="1" applyFill="1" applyBorder="1" applyAlignment="1">
      <alignment horizontal="center" vertical="center"/>
    </xf>
    <xf numFmtId="0" fontId="21" fillId="31" borderId="75" xfId="0" applyFont="1" applyFill="1" applyBorder="1" applyAlignment="1">
      <alignment horizontal="center" vertical="center"/>
    </xf>
    <xf numFmtId="0" fontId="21" fillId="31" borderId="73" xfId="0" applyFont="1" applyFill="1" applyBorder="1" applyAlignment="1">
      <alignment horizontal="center" vertical="center"/>
    </xf>
    <xf numFmtId="0" fontId="1" fillId="26" borderId="50" xfId="0" applyFont="1" applyFill="1" applyBorder="1" applyAlignment="1">
      <alignment horizontal="center" vertical="center"/>
    </xf>
    <xf numFmtId="43" fontId="24" fillId="26" borderId="81" xfId="19" applyFont="1" applyFill="1" applyBorder="1" applyAlignment="1">
      <alignment horizontal="center" vertical="center"/>
    </xf>
    <xf numFmtId="43" fontId="24" fillId="26" borderId="82" xfId="19" applyNumberFormat="1" applyFont="1" applyFill="1" applyBorder="1" applyAlignment="1">
      <alignment horizontal="center" vertical="center"/>
    </xf>
    <xf numFmtId="43" fontId="24" fillId="26" borderId="83" xfId="19" applyNumberFormat="1" applyFont="1" applyFill="1" applyBorder="1" applyAlignment="1">
      <alignment horizontal="center" vertical="center"/>
    </xf>
    <xf numFmtId="43" fontId="24" fillId="26" borderId="84" xfId="19" applyNumberFormat="1" applyFont="1" applyFill="1" applyBorder="1" applyAlignment="1">
      <alignment horizontal="center" vertical="center"/>
    </xf>
    <xf numFmtId="0" fontId="66" fillId="26" borderId="82" xfId="0" applyFont="1" applyFill="1" applyBorder="1" applyAlignment="1">
      <alignment horizontal="center" vertical="center"/>
    </xf>
    <xf numFmtId="0" fontId="66" fillId="26" borderId="83" xfId="0" applyFont="1" applyFill="1" applyBorder="1" applyAlignment="1">
      <alignment horizontal="center" vertical="center"/>
    </xf>
    <xf numFmtId="0" fontId="66" fillId="26" borderId="84" xfId="0" applyFont="1" applyFill="1" applyBorder="1" applyAlignment="1">
      <alignment horizontal="center" vertical="center"/>
    </xf>
    <xf numFmtId="0" fontId="11" fillId="26" borderId="44" xfId="0" applyFont="1" applyFill="1" applyBorder="1" applyAlignment="1">
      <alignment horizontal="center" vertical="center" wrapText="1"/>
    </xf>
    <xf numFmtId="0" fontId="11" fillId="26" borderId="45" xfId="0" applyFont="1" applyFill="1" applyBorder="1" applyAlignment="1">
      <alignment horizontal="center" vertical="center" wrapText="1"/>
    </xf>
    <xf numFmtId="0" fontId="11" fillId="26" borderId="46" xfId="0" applyFont="1" applyFill="1" applyBorder="1" applyAlignment="1">
      <alignment horizontal="center" vertical="center" wrapText="1"/>
    </xf>
    <xf numFmtId="0" fontId="11" fillId="26" borderId="47" xfId="0" applyFont="1" applyFill="1" applyBorder="1" applyAlignment="1">
      <alignment horizontal="center" vertical="center" wrapText="1"/>
    </xf>
    <xf numFmtId="0" fontId="11" fillId="26" borderId="0" xfId="0" applyFont="1" applyFill="1" applyBorder="1" applyAlignment="1">
      <alignment horizontal="center" vertical="center" wrapText="1"/>
    </xf>
    <xf numFmtId="0" fontId="11" fillId="26" borderId="48" xfId="0" applyFont="1" applyFill="1" applyBorder="1" applyAlignment="1">
      <alignment horizontal="center" vertical="center" wrapText="1"/>
    </xf>
    <xf numFmtId="0" fontId="11" fillId="26" borderId="85" xfId="0" applyFont="1" applyFill="1" applyBorder="1" applyAlignment="1">
      <alignment horizontal="center" vertical="center" wrapText="1"/>
    </xf>
    <xf numFmtId="0" fontId="11" fillId="26" borderId="86" xfId="0" applyFont="1" applyFill="1" applyBorder="1" applyAlignment="1">
      <alignment horizontal="center" vertical="center" wrapText="1"/>
    </xf>
    <xf numFmtId="0" fontId="11" fillId="26" borderId="87" xfId="0" applyFont="1" applyFill="1" applyBorder="1" applyAlignment="1">
      <alignment horizontal="center" vertical="center" wrapText="1"/>
    </xf>
    <xf numFmtId="0" fontId="67" fillId="26" borderId="88" xfId="0" applyFont="1" applyFill="1" applyBorder="1" applyAlignment="1">
      <alignment horizontal="center" vertical="center"/>
    </xf>
    <xf numFmtId="0" fontId="67" fillId="26" borderId="89" xfId="0" applyFont="1" applyFill="1" applyBorder="1" applyAlignment="1">
      <alignment horizontal="center" vertical="center"/>
    </xf>
    <xf numFmtId="0" fontId="67" fillId="26" borderId="90" xfId="0" applyFont="1" applyFill="1" applyBorder="1" applyAlignment="1">
      <alignment horizontal="center" vertical="center"/>
    </xf>
    <xf numFmtId="0" fontId="11" fillId="26" borderId="88" xfId="0" applyFont="1" applyFill="1" applyBorder="1" applyAlignment="1">
      <alignment horizontal="center" vertical="center"/>
    </xf>
    <xf numFmtId="0" fontId="11" fillId="26" borderId="89" xfId="0" applyFont="1" applyFill="1" applyBorder="1" applyAlignment="1">
      <alignment horizontal="center" vertical="center"/>
    </xf>
    <xf numFmtId="0" fontId="11" fillId="26" borderId="90" xfId="0" applyFont="1" applyFill="1" applyBorder="1" applyAlignment="1">
      <alignment horizontal="center" vertical="center"/>
    </xf>
    <xf numFmtId="0" fontId="68" fillId="26" borderId="0" xfId="0" applyFont="1" applyFill="1" applyBorder="1" applyAlignment="1">
      <alignment horizontal="center" vertical="center" wrapText="1"/>
    </xf>
    <xf numFmtId="0" fontId="68" fillId="26" borderId="48" xfId="0" applyFont="1" applyFill="1" applyBorder="1" applyAlignment="1">
      <alignment horizontal="center" vertical="center" wrapText="1"/>
    </xf>
    <xf numFmtId="0" fontId="68" fillId="26" borderId="47" xfId="0" applyFont="1" applyFill="1" applyBorder="1" applyAlignment="1">
      <alignment horizontal="center" vertical="center" wrapText="1"/>
    </xf>
    <xf numFmtId="0" fontId="68" fillId="26" borderId="85" xfId="0" applyFont="1" applyFill="1" applyBorder="1" applyAlignment="1">
      <alignment horizontal="center" vertical="center" wrapText="1"/>
    </xf>
    <xf numFmtId="0" fontId="68" fillId="26" borderId="86" xfId="0" applyFont="1" applyFill="1" applyBorder="1" applyAlignment="1">
      <alignment horizontal="center" vertical="center" wrapText="1"/>
    </xf>
    <xf numFmtId="0" fontId="68" fillId="26" borderId="87" xfId="0" applyFont="1" applyFill="1" applyBorder="1" applyAlignment="1">
      <alignment horizontal="center" vertical="center" wrapText="1"/>
    </xf>
    <xf numFmtId="0" fontId="24" fillId="26" borderId="74" xfId="0" applyFont="1" applyFill="1" applyBorder="1" applyAlignment="1">
      <alignment horizontal="center" vertical="center"/>
    </xf>
    <xf numFmtId="0" fontId="24" fillId="26" borderId="75" xfId="0" applyFont="1" applyFill="1" applyBorder="1" applyAlignment="1">
      <alignment horizontal="center" vertical="center"/>
    </xf>
    <xf numFmtId="0" fontId="24" fillId="26" borderId="73" xfId="0" applyFont="1" applyFill="1" applyBorder="1" applyAlignment="1">
      <alignment horizontal="center" vertical="center"/>
    </xf>
    <xf numFmtId="0" fontId="15" fillId="30" borderId="44" xfId="0" applyFont="1" applyFill="1" applyBorder="1" applyAlignment="1">
      <alignment horizontal="center" vertical="center"/>
    </xf>
    <xf numFmtId="0" fontId="15" fillId="30" borderId="46" xfId="0" applyFont="1" applyFill="1" applyBorder="1" applyAlignment="1">
      <alignment horizontal="center" vertical="center"/>
    </xf>
    <xf numFmtId="0" fontId="25" fillId="30" borderId="44" xfId="0" applyFont="1" applyFill="1" applyBorder="1" applyAlignment="1">
      <alignment horizontal="center" vertical="center" wrapText="1"/>
    </xf>
    <xf numFmtId="0" fontId="25" fillId="30" borderId="45" xfId="0" applyFont="1" applyFill="1" applyBorder="1" applyAlignment="1">
      <alignment horizontal="center" vertical="center" wrapText="1"/>
    </xf>
    <xf numFmtId="0" fontId="25" fillId="30" borderId="46" xfId="0" applyFont="1" applyFill="1" applyBorder="1" applyAlignment="1">
      <alignment horizontal="center" vertical="center" wrapText="1"/>
    </xf>
    <xf numFmtId="0" fontId="10" fillId="32" borderId="44" xfId="0" applyFont="1" applyFill="1" applyBorder="1" applyAlignment="1">
      <alignment horizontal="center" vertical="center"/>
    </xf>
    <xf numFmtId="0" fontId="10" fillId="32" borderId="45" xfId="0" applyFont="1" applyFill="1" applyBorder="1" applyAlignment="1">
      <alignment horizontal="center" vertical="center"/>
    </xf>
    <xf numFmtId="0" fontId="10" fillId="32" borderId="46" xfId="0" applyFont="1" applyFill="1" applyBorder="1" applyAlignment="1">
      <alignment horizontal="center" vertical="center"/>
    </xf>
    <xf numFmtId="0" fontId="10" fillId="30" borderId="44" xfId="0" applyFont="1" applyFill="1" applyBorder="1" applyAlignment="1">
      <alignment horizontal="center" vertical="center"/>
    </xf>
    <xf numFmtId="0" fontId="10" fillId="30" borderId="45" xfId="0" applyFont="1" applyFill="1" applyBorder="1" applyAlignment="1">
      <alignment horizontal="center" vertical="center"/>
    </xf>
    <xf numFmtId="0" fontId="10" fillId="30" borderId="46" xfId="0" applyFont="1" applyFill="1" applyBorder="1" applyAlignment="1">
      <alignment horizontal="center" vertical="center"/>
    </xf>
    <xf numFmtId="0" fontId="10" fillId="30" borderId="49" xfId="0" applyFont="1" applyFill="1" applyBorder="1" applyAlignment="1">
      <alignment horizontal="center" vertical="center"/>
    </xf>
    <xf numFmtId="0" fontId="10" fillId="30" borderId="58" xfId="0" applyFont="1" applyFill="1" applyBorder="1" applyAlignment="1">
      <alignment horizontal="center" vertical="center"/>
    </xf>
    <xf numFmtId="0" fontId="10" fillId="30" borderId="59" xfId="0" applyFont="1" applyFill="1" applyBorder="1" applyAlignment="1">
      <alignment horizontal="center" vertical="center"/>
    </xf>
    <xf numFmtId="0" fontId="10" fillId="32" borderId="49" xfId="0" applyFont="1" applyFill="1" applyBorder="1" applyAlignment="1">
      <alignment horizontal="center" vertical="center"/>
    </xf>
    <xf numFmtId="0" fontId="10" fillId="32" borderId="58" xfId="0" applyFont="1" applyFill="1" applyBorder="1" applyAlignment="1">
      <alignment horizontal="center" vertical="center"/>
    </xf>
    <xf numFmtId="0" fontId="10" fillId="32" borderId="59" xfId="0" applyFont="1" applyFill="1" applyBorder="1" applyAlignment="1">
      <alignment horizontal="center" vertical="center"/>
    </xf>
    <xf numFmtId="0" fontId="17" fillId="30" borderId="49" xfId="0" applyFont="1" applyFill="1" applyBorder="1" applyAlignment="1">
      <alignment horizontal="center" vertical="center"/>
    </xf>
    <xf numFmtId="0" fontId="17" fillId="30" borderId="58" xfId="0" applyFont="1" applyFill="1" applyBorder="1" applyAlignment="1">
      <alignment horizontal="center" vertical="center"/>
    </xf>
    <xf numFmtId="0" fontId="17" fillId="30" borderId="59" xfId="0" applyFont="1" applyFill="1" applyBorder="1" applyAlignment="1">
      <alignment horizontal="center" vertical="center"/>
    </xf>
    <xf numFmtId="0" fontId="10" fillId="26" borderId="64" xfId="0" applyFont="1" applyFill="1" applyBorder="1" applyAlignment="1">
      <alignment horizontal="center" vertical="center" wrapText="1"/>
    </xf>
    <xf numFmtId="0" fontId="10" fillId="26" borderId="91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wrapText="1"/>
    </xf>
    <xf numFmtId="0" fontId="14" fillId="26" borderId="44" xfId="0" applyFont="1" applyFill="1" applyBorder="1" applyAlignment="1">
      <alignment horizontal="left" vertical="center" wrapText="1"/>
    </xf>
    <xf numFmtId="0" fontId="14" fillId="26" borderId="92" xfId="0" applyFont="1" applyFill="1" applyBorder="1" applyAlignment="1">
      <alignment horizontal="left" vertical="center" wrapText="1"/>
    </xf>
    <xf numFmtId="0" fontId="10" fillId="26" borderId="51" xfId="0" applyFont="1" applyFill="1" applyBorder="1" applyAlignment="1">
      <alignment horizontal="center" vertical="center" wrapText="1"/>
    </xf>
    <xf numFmtId="0" fontId="10" fillId="26" borderId="93" xfId="0" applyFont="1" applyFill="1" applyBorder="1" applyAlignment="1">
      <alignment horizontal="center" vertical="center" wrapText="1"/>
    </xf>
    <xf numFmtId="0" fontId="10" fillId="26" borderId="16" xfId="0" applyFont="1" applyFill="1" applyBorder="1" applyAlignment="1">
      <alignment horizontal="center" vertical="center" wrapText="1"/>
    </xf>
    <xf numFmtId="0" fontId="10" fillId="26" borderId="93" xfId="0" applyFont="1" applyFill="1" applyBorder="1" applyAlignment="1">
      <alignment horizontal="center" vertical="center"/>
    </xf>
    <xf numFmtId="0" fontId="10" fillId="26" borderId="12" xfId="0" applyFont="1" applyFill="1" applyBorder="1" applyAlignment="1">
      <alignment horizontal="center" vertical="center"/>
    </xf>
    <xf numFmtId="0" fontId="10" fillId="26" borderId="0" xfId="0" applyFont="1" applyFill="1" applyBorder="1" applyAlignment="1">
      <alignment horizontal="center" vertical="center"/>
    </xf>
    <xf numFmtId="0" fontId="10" fillId="26" borderId="48" xfId="0" applyFont="1" applyFill="1" applyBorder="1" applyAlignment="1">
      <alignment horizontal="center" vertical="center"/>
    </xf>
    <xf numFmtId="0" fontId="10" fillId="26" borderId="58" xfId="0" applyFont="1" applyFill="1" applyBorder="1" applyAlignment="1">
      <alignment horizontal="center" vertical="center"/>
    </xf>
    <xf numFmtId="0" fontId="10" fillId="26" borderId="59" xfId="0" applyFont="1" applyFill="1" applyBorder="1" applyAlignment="1">
      <alignment horizontal="center" vertical="center"/>
    </xf>
    <xf numFmtId="0" fontId="21" fillId="26" borderId="98" xfId="0" applyFont="1" applyFill="1" applyBorder="1" applyAlignment="1">
      <alignment horizontal="center" vertical="center"/>
    </xf>
    <xf numFmtId="0" fontId="21" fillId="26" borderId="99" xfId="0" applyFont="1" applyFill="1" applyBorder="1" applyAlignment="1">
      <alignment horizontal="center" vertical="center"/>
    </xf>
    <xf numFmtId="0" fontId="21" fillId="26" borderId="100" xfId="0" applyFont="1" applyFill="1" applyBorder="1" applyAlignment="1">
      <alignment horizontal="center" vertical="center"/>
    </xf>
    <xf numFmtId="0" fontId="21" fillId="26" borderId="101" xfId="0" applyFont="1" applyFill="1" applyBorder="1" applyAlignment="1">
      <alignment horizontal="center" vertical="center"/>
    </xf>
    <xf numFmtId="0" fontId="11" fillId="26" borderId="98" xfId="0" applyFont="1" applyFill="1" applyBorder="1" applyAlignment="1">
      <alignment horizontal="center" vertical="center"/>
    </xf>
    <xf numFmtId="0" fontId="11" fillId="26" borderId="99" xfId="0" applyFont="1" applyFill="1" applyBorder="1" applyAlignment="1">
      <alignment horizontal="center" vertical="center"/>
    </xf>
    <xf numFmtId="0" fontId="11" fillId="26" borderId="0" xfId="0" applyFont="1" applyFill="1" applyBorder="1" applyAlignment="1">
      <alignment horizontal="center" vertical="center"/>
    </xf>
    <xf numFmtId="0" fontId="11" fillId="26" borderId="48" xfId="0" applyFont="1" applyFill="1" applyBorder="1" applyAlignment="1">
      <alignment horizontal="center" vertical="center"/>
    </xf>
    <xf numFmtId="168" fontId="20" fillId="27" borderId="45" xfId="0" applyNumberFormat="1" applyFont="1" applyFill="1" applyBorder="1" applyAlignment="1">
      <alignment horizontal="center" vertical="center"/>
    </xf>
    <xf numFmtId="168" fontId="20" fillId="27" borderId="46" xfId="0" applyNumberFormat="1" applyFont="1" applyFill="1" applyBorder="1" applyAlignment="1">
      <alignment horizontal="center" vertical="center"/>
    </xf>
    <xf numFmtId="168" fontId="20" fillId="27" borderId="100" xfId="0" applyNumberFormat="1" applyFont="1" applyFill="1" applyBorder="1" applyAlignment="1">
      <alignment horizontal="center" vertical="center"/>
    </xf>
    <xf numFmtId="168" fontId="20" fillId="27" borderId="101" xfId="0" applyNumberFormat="1" applyFont="1" applyFill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 wrapText="1"/>
    </xf>
    <xf numFmtId="0" fontId="4" fillId="26" borderId="0" xfId="0" applyFont="1" applyFill="1" applyBorder="1" applyAlignment="1">
      <alignment horizontal="center" vertical="center" wrapText="1"/>
    </xf>
    <xf numFmtId="0" fontId="4" fillId="26" borderId="48" xfId="0" applyFont="1" applyFill="1" applyBorder="1" applyAlignment="1">
      <alignment horizontal="center" vertical="center" wrapText="1"/>
    </xf>
    <xf numFmtId="0" fontId="4" fillId="26" borderId="44" xfId="0" applyFont="1" applyFill="1" applyBorder="1" applyAlignment="1">
      <alignment horizontal="center" vertical="center"/>
    </xf>
    <xf numFmtId="0" fontId="4" fillId="26" borderId="45" xfId="0" applyFont="1" applyFill="1" applyBorder="1" applyAlignment="1">
      <alignment horizontal="center" vertical="center"/>
    </xf>
    <xf numFmtId="0" fontId="4" fillId="26" borderId="46" xfId="0" applyFont="1" applyFill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/>
    </xf>
    <xf numFmtId="0" fontId="4" fillId="26" borderId="48" xfId="0" applyFont="1" applyFill="1" applyBorder="1" applyAlignment="1">
      <alignment horizontal="center" vertical="center"/>
    </xf>
    <xf numFmtId="0" fontId="4" fillId="26" borderId="49" xfId="0" applyFont="1" applyFill="1" applyBorder="1" applyAlignment="1">
      <alignment horizontal="center" vertical="center"/>
    </xf>
    <xf numFmtId="0" fontId="4" fillId="26" borderId="58" xfId="0" applyFont="1" applyFill="1" applyBorder="1" applyAlignment="1">
      <alignment horizontal="center" vertical="center"/>
    </xf>
    <xf numFmtId="0" fontId="4" fillId="26" borderId="59" xfId="0" applyFont="1" applyFill="1" applyBorder="1" applyAlignment="1">
      <alignment horizontal="center" vertical="center"/>
    </xf>
    <xf numFmtId="0" fontId="1" fillId="26" borderId="77" xfId="0" applyFont="1" applyFill="1" applyBorder="1" applyAlignment="1">
      <alignment horizontal="center" vertical="center"/>
    </xf>
    <xf numFmtId="0" fontId="1" fillId="26" borderId="78" xfId="0" applyFont="1" applyFill="1" applyBorder="1" applyAlignment="1">
      <alignment horizontal="center" vertical="center"/>
    </xf>
    <xf numFmtId="0" fontId="10" fillId="26" borderId="94" xfId="0" applyFont="1" applyFill="1" applyBorder="1" applyAlignment="1">
      <alignment horizontal="center" vertical="center"/>
    </xf>
    <xf numFmtId="0" fontId="10" fillId="26" borderId="67" xfId="0" applyFont="1" applyFill="1" applyBorder="1" applyAlignment="1">
      <alignment horizontal="center" vertical="center"/>
    </xf>
    <xf numFmtId="0" fontId="16" fillId="26" borderId="44" xfId="0" applyFont="1" applyFill="1" applyBorder="1" applyAlignment="1">
      <alignment horizontal="center" vertical="center" textRotation="180"/>
    </xf>
    <xf numFmtId="0" fontId="16" fillId="26" borderId="47" xfId="0" applyFont="1" applyFill="1" applyBorder="1" applyAlignment="1">
      <alignment horizontal="center" vertical="center" textRotation="180"/>
    </xf>
    <xf numFmtId="0" fontId="16" fillId="26" borderId="95" xfId="0" applyFont="1" applyFill="1" applyBorder="1" applyAlignment="1">
      <alignment horizontal="center" vertical="center" textRotation="180"/>
    </xf>
    <xf numFmtId="0" fontId="4" fillId="26" borderId="49" xfId="0" applyFont="1" applyFill="1" applyBorder="1" applyAlignment="1">
      <alignment horizontal="center" vertical="center" wrapText="1"/>
    </xf>
    <xf numFmtId="0" fontId="4" fillId="26" borderId="58" xfId="0" applyFont="1" applyFill="1" applyBorder="1" applyAlignment="1">
      <alignment horizontal="center" vertical="center" wrapText="1"/>
    </xf>
    <xf numFmtId="0" fontId="1" fillId="26" borderId="0" xfId="0" applyFont="1" applyFill="1" applyAlignment="1">
      <alignment horizontal="left"/>
    </xf>
    <xf numFmtId="165" fontId="62" fillId="26" borderId="103" xfId="19" applyNumberFormat="1" applyFont="1" applyFill="1" applyBorder="1" applyAlignment="1">
      <alignment horizontal="center" wrapText="1"/>
    </xf>
    <xf numFmtId="0" fontId="62" fillId="26" borderId="0" xfId="0" applyFont="1" applyFill="1" applyBorder="1" applyAlignment="1">
      <alignment horizontal="center" wrapText="1"/>
    </xf>
    <xf numFmtId="165" fontId="62" fillId="26" borderId="0" xfId="19" applyNumberFormat="1" applyFont="1" applyFill="1" applyBorder="1" applyAlignment="1">
      <alignment horizontal="center" wrapText="1"/>
    </xf>
    <xf numFmtId="3" fontId="59" fillId="25" borderId="18" xfId="0" applyNumberFormat="1" applyFont="1" applyFill="1" applyBorder="1" applyAlignment="1">
      <alignment horizontal="center" vertical="center"/>
    </xf>
    <xf numFmtId="3" fontId="59" fillId="25" borderId="24" xfId="0" applyNumberFormat="1" applyFont="1" applyFill="1" applyBorder="1" applyAlignment="1">
      <alignment horizontal="center" vertical="center"/>
    </xf>
    <xf numFmtId="3" fontId="59" fillId="25" borderId="19" xfId="0" applyNumberFormat="1" applyFont="1" applyFill="1" applyBorder="1" applyAlignment="1">
      <alignment horizontal="center" vertical="center"/>
    </xf>
    <xf numFmtId="3" fontId="59" fillId="25" borderId="38" xfId="0" applyNumberFormat="1" applyFont="1" applyFill="1" applyBorder="1" applyAlignment="1">
      <alignment horizontal="center" vertical="center"/>
    </xf>
    <xf numFmtId="3" fontId="59" fillId="25" borderId="30" xfId="0" applyNumberFormat="1" applyFont="1" applyFill="1" applyBorder="1" applyAlignment="1">
      <alignment horizontal="center" vertical="center"/>
    </xf>
    <xf numFmtId="3" fontId="59" fillId="25" borderId="31" xfId="0" applyNumberFormat="1" applyFont="1" applyFill="1" applyBorder="1" applyAlignment="1">
      <alignment horizontal="center" vertical="center"/>
    </xf>
  </cellXfs>
  <cellStyles count="66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Comma" xfId="19" builtinId="3"/>
    <cellStyle name="Comma 2" xfId="20"/>
    <cellStyle name="Comma 2 6 2 2" xfId="21"/>
    <cellStyle name="Currency" xfId="22" builtinId="4"/>
    <cellStyle name="Normal" xfId="0" builtinId="0"/>
    <cellStyle name="Normal 2" xfId="23"/>
    <cellStyle name="Normal 2 2" xfId="24"/>
    <cellStyle name="Normal 2 2 2" xfId="25"/>
    <cellStyle name="Normal 2 2 3" xfId="26"/>
    <cellStyle name="Normal 2 3" xfId="27"/>
    <cellStyle name="Normal 2 5 2 2" xfId="28"/>
    <cellStyle name="Normal 3" xfId="29"/>
    <cellStyle name="Normal 3 2 2 2 2" xfId="30"/>
    <cellStyle name="Normal 3 2 2 2 3" xfId="31"/>
    <cellStyle name="Normal_Book1" xfId="32"/>
    <cellStyle name="Normal_new" xfId="33"/>
    <cellStyle name="Percent" xfId="34" builtinId="5"/>
    <cellStyle name="Percent 2" xfId="35"/>
    <cellStyle name="好" xfId="36"/>
    <cellStyle name="好_PEMBAGIAN" xfId="37"/>
    <cellStyle name="差" xfId="38"/>
    <cellStyle name="差_PEMBAGIAN" xfId="39"/>
    <cellStyle name="强调文字颜色 1" xfId="40"/>
    <cellStyle name="强调文字颜色 2" xfId="41"/>
    <cellStyle name="强调文字颜色 3" xfId="42"/>
    <cellStyle name="强调文字颜色 4" xfId="43"/>
    <cellStyle name="强调文字颜色 5" xfId="44"/>
    <cellStyle name="强调文字颜色 6" xfId="45"/>
    <cellStyle name="标题" xfId="46"/>
    <cellStyle name="标题 1" xfId="47"/>
    <cellStyle name="标题 2" xfId="48"/>
    <cellStyle name="标题 3" xfId="49"/>
    <cellStyle name="标题 4" xfId="50"/>
    <cellStyle name="标题_PEMBAGIAN" xfId="51"/>
    <cellStyle name="检查单元格" xfId="52"/>
    <cellStyle name="汇总" xfId="53"/>
    <cellStyle name="汇总 2" xfId="54"/>
    <cellStyle name="注释" xfId="55"/>
    <cellStyle name="注释 2" xfId="56"/>
    <cellStyle name="注释 3" xfId="57"/>
    <cellStyle name="解释性文本" xfId="58"/>
    <cellStyle name="警告文本" xfId="59"/>
    <cellStyle name="计算" xfId="60"/>
    <cellStyle name="输入" xfId="61"/>
    <cellStyle name="输出" xfId="62"/>
    <cellStyle name="输出 2" xfId="63"/>
    <cellStyle name="适中" xfId="64"/>
    <cellStyle name="链接单元格" xfId="6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703580</xdr:colOff>
      <xdr:row>21</xdr:row>
      <xdr:rowOff>100330</xdr:rowOff>
    </xdr:from>
    <xdr:to>
      <xdr:col>3</xdr:col>
      <xdr:colOff>1036320</xdr:colOff>
      <xdr:row>23</xdr:row>
      <xdr:rowOff>228584</xdr:rowOff>
    </xdr:to>
    <xdr:sp macro="" textlink="">
      <xdr:nvSpPr>
        <xdr:cNvPr id="2" name="AutoShape 54"/>
        <xdr:cNvSpPr>
          <a:spLocks noChangeArrowheads="1"/>
        </xdr:cNvSpPr>
      </xdr:nvSpPr>
      <xdr:spPr>
        <a:xfrm>
          <a:off x="3072765" y="6586855"/>
          <a:ext cx="3095625" cy="76644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en-US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  <a:t>{_alejandro_}</a:t>
          </a:r>
        </a:p>
        <a:p>
          <a:pPr algn="ctr" rtl="0">
            <a:lnSpc>
              <a:spcPts val="1200"/>
            </a:lnSpc>
            <a:defRPr sz="1000"/>
          </a:pPr>
          <a:r>
            <a:rPr lang="en-US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  <a:t>{_sets_}</a:t>
          </a:r>
        </a:p>
      </xdr:txBody>
    </xdr:sp>
    <xdr:clientData/>
  </xdr:twoCellAnchor>
  <xdr:twoCellAnchor editAs="oneCell">
    <xdr:from>
      <xdr:col>1</xdr:col>
      <xdr:colOff>990600</xdr:colOff>
      <xdr:row>17</xdr:row>
      <xdr:rowOff>28575</xdr:rowOff>
    </xdr:from>
    <xdr:to>
      <xdr:col>3</xdr:col>
      <xdr:colOff>762000</xdr:colOff>
      <xdr:row>18</xdr:row>
      <xdr:rowOff>285750</xdr:rowOff>
    </xdr:to>
    <xdr:pic>
      <xdr:nvPicPr>
        <xdr:cNvPr id="166920" name="Picture 143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5238750"/>
          <a:ext cx="25336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1423670</xdr:colOff>
      <xdr:row>49</xdr:row>
      <xdr:rowOff>61595</xdr:rowOff>
    </xdr:from>
    <xdr:ext cx="1539900" cy="407035"/>
    <xdr:sp macro="" textlink="">
      <xdr:nvSpPr>
        <xdr:cNvPr id="3" name="TextBox 36"/>
        <xdr:cNvSpPr txBox="1"/>
      </xdr:nvSpPr>
      <xdr:spPr>
        <a:xfrm>
          <a:off x="6565265" y="14806295"/>
          <a:ext cx="1529715" cy="40703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oneCellAnchor>
    <xdr:from>
      <xdr:col>6</xdr:col>
      <xdr:colOff>513551</xdr:colOff>
      <xdr:row>48</xdr:row>
      <xdr:rowOff>141763</xdr:rowOff>
    </xdr:from>
    <xdr:ext cx="1349794" cy="604361"/>
    <xdr:sp macro="" textlink="">
      <xdr:nvSpPr>
        <xdr:cNvPr id="4" name="TextBox 42"/>
        <xdr:cNvSpPr txBox="1"/>
      </xdr:nvSpPr>
      <xdr:spPr>
        <a:xfrm>
          <a:off x="9457690" y="14648180"/>
          <a:ext cx="1350010" cy="60388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800"/>
            </a:lnSpc>
          </a:pPr>
          <a:r>
            <a:rPr lang="zh-CN" altLang="en-US" sz="1400">
              <a:solidFill>
                <a:srgbClr val="FFFF00"/>
              </a:solidFill>
            </a:rPr>
            <a:t>编号，码数，</a:t>
          </a:r>
          <a:r>
            <a:rPr lang="en-US" altLang="zh-CN" sz="1400">
              <a:solidFill>
                <a:srgbClr val="FFFF00"/>
              </a:solidFill>
            </a:rPr>
            <a:t/>
          </a:r>
          <a:br>
            <a:rPr lang="en-US" altLang="zh-CN" sz="1400">
              <a:solidFill>
                <a:srgbClr val="FFFF00"/>
              </a:solidFill>
            </a:rPr>
          </a:br>
          <a:r>
            <a:rPr lang="zh-CN" altLang="en-US" sz="1400">
              <a:solidFill>
                <a:srgbClr val="FFFF00"/>
              </a:solidFill>
            </a:rPr>
            <a:t>生产号码</a:t>
          </a:r>
          <a:endParaRPr lang="en-US" sz="1400">
            <a:solidFill>
              <a:srgbClr val="FFFF00"/>
            </a:solidFill>
          </a:endParaRPr>
        </a:p>
      </xdr:txBody>
    </xdr:sp>
    <xdr:clientData/>
  </xdr:oneCellAnchor>
  <xdr:twoCellAnchor>
    <xdr:from>
      <xdr:col>6</xdr:col>
      <xdr:colOff>271780</xdr:colOff>
      <xdr:row>39</xdr:row>
      <xdr:rowOff>118110</xdr:rowOff>
    </xdr:from>
    <xdr:to>
      <xdr:col>9</xdr:col>
      <xdr:colOff>354345</xdr:colOff>
      <xdr:row>42</xdr:row>
      <xdr:rowOff>132144</xdr:rowOff>
    </xdr:to>
    <xdr:sp macro="" textlink="">
      <xdr:nvSpPr>
        <xdr:cNvPr id="5" name="TextBox 51"/>
        <xdr:cNvSpPr txBox="1"/>
      </xdr:nvSpPr>
      <xdr:spPr>
        <a:xfrm>
          <a:off x="9216390" y="12567285"/>
          <a:ext cx="2029460" cy="6902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 baseline="0"/>
            <a:t>FLERA</a:t>
          </a:r>
          <a:r>
            <a:rPr lang="zh-CN" altLang="en-US" sz="1200" b="1" baseline="0"/>
            <a:t> </a:t>
          </a:r>
          <a:r>
            <a:rPr lang="en-US" altLang="zh-CN" sz="1200" b="1" baseline="0"/>
            <a:t> 37</a:t>
          </a:r>
          <a:r>
            <a:rPr lang="id-ID" sz="1200" b="1"/>
            <a:t> </a:t>
          </a:r>
          <a:r>
            <a:rPr lang="en-US" sz="1200" b="1"/>
            <a:t>K19</a:t>
          </a:r>
          <a:endParaRPr lang="en-US" sz="1200" b="1" baseline="0"/>
        </a:p>
        <a:p>
          <a:pPr algn="ctr"/>
          <a:r>
            <a:rPr lang="en-US" sz="1200" b="1" baseline="0"/>
            <a:t>MADE IN CHINA</a:t>
          </a:r>
        </a:p>
        <a:p>
          <a:pPr algn="ctr"/>
          <a:r>
            <a:rPr lang="en-US" sz="1200" b="1" baseline="0"/>
            <a:t>MAN MADE MATERIAL  </a:t>
          </a:r>
          <a:r>
            <a:rPr lang="zh-CN" altLang="en-US" sz="1200" b="1" baseline="0"/>
            <a:t> </a:t>
          </a:r>
          <a:endParaRPr lang="en-US" sz="1200" b="1"/>
        </a:p>
      </xdr:txBody>
    </xdr:sp>
    <xdr:clientData/>
  </xdr:twoCellAnchor>
  <xdr:twoCellAnchor>
    <xdr:from>
      <xdr:col>8</xdr:col>
      <xdr:colOff>153035</xdr:colOff>
      <xdr:row>42</xdr:row>
      <xdr:rowOff>106680</xdr:rowOff>
    </xdr:from>
    <xdr:to>
      <xdr:col>8</xdr:col>
      <xdr:colOff>153035</xdr:colOff>
      <xdr:row>45</xdr:row>
      <xdr:rowOff>120714</xdr:rowOff>
    </xdr:to>
    <xdr:cxnSp macro="">
      <xdr:nvCxnSpPr>
        <xdr:cNvPr id="6" name="Straight Arrow Connector 52"/>
        <xdr:cNvCxnSpPr/>
      </xdr:nvCxnSpPr>
      <xdr:spPr>
        <a:xfrm>
          <a:off x="10389235" y="13241655"/>
          <a:ext cx="0" cy="69024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571500</xdr:colOff>
      <xdr:row>39</xdr:row>
      <xdr:rowOff>114300</xdr:rowOff>
    </xdr:from>
    <xdr:to>
      <xdr:col>13</xdr:col>
      <xdr:colOff>390525</xdr:colOff>
      <xdr:row>45</xdr:row>
      <xdr:rowOff>9525</xdr:rowOff>
    </xdr:to>
    <xdr:pic>
      <xdr:nvPicPr>
        <xdr:cNvPr id="1669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12515850"/>
          <a:ext cx="111442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571500</xdr:colOff>
      <xdr:row>45</xdr:row>
      <xdr:rowOff>76200</xdr:rowOff>
    </xdr:from>
    <xdr:to>
      <xdr:col>13</xdr:col>
      <xdr:colOff>390525</xdr:colOff>
      <xdr:row>51</xdr:row>
      <xdr:rowOff>114300</xdr:rowOff>
    </xdr:to>
    <xdr:pic>
      <xdr:nvPicPr>
        <xdr:cNvPr id="1669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13849350"/>
          <a:ext cx="111442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447675</xdr:colOff>
      <xdr:row>39</xdr:row>
      <xdr:rowOff>114300</xdr:rowOff>
    </xdr:from>
    <xdr:to>
      <xdr:col>17</xdr:col>
      <xdr:colOff>28575</xdr:colOff>
      <xdr:row>43</xdr:row>
      <xdr:rowOff>19050</xdr:rowOff>
    </xdr:to>
    <xdr:pic>
      <xdr:nvPicPr>
        <xdr:cNvPr id="1669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6725" y="12515850"/>
          <a:ext cx="19050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85725</xdr:colOff>
      <xdr:row>43</xdr:row>
      <xdr:rowOff>95250</xdr:rowOff>
    </xdr:from>
    <xdr:to>
      <xdr:col>16</xdr:col>
      <xdr:colOff>1009650</xdr:colOff>
      <xdr:row>51</xdr:row>
      <xdr:rowOff>28575</xdr:rowOff>
    </xdr:to>
    <xdr:pic>
      <xdr:nvPicPr>
        <xdr:cNvPr id="16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2025" y="13411200"/>
          <a:ext cx="923925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2"/>
  <sheetViews>
    <sheetView tabSelected="1" zoomScale="51" workbookViewId="0">
      <selection activeCell="D5" sqref="D5"/>
    </sheetView>
  </sheetViews>
  <sheetFormatPr defaultColWidth="11.453125" defaultRowHeight="18"/>
  <cols>
    <col min="1" max="1" width="35.54296875" style="84" customWidth="1"/>
    <col min="2" max="2" width="24.453125" style="84" customWidth="1"/>
    <col min="3" max="3" width="17" style="84" customWidth="1"/>
    <col min="4" max="4" width="24.81640625" style="86" customWidth="1"/>
    <col min="5" max="5" width="20" style="84" customWidth="1"/>
    <col min="6" max="6" width="12.26953125" style="84" customWidth="1"/>
    <col min="7" max="13" width="9.7265625" style="84" customWidth="1"/>
    <col min="14" max="14" width="13.1796875" style="84" customWidth="1"/>
    <col min="15" max="15" width="13.54296875" style="84" customWidth="1"/>
    <col min="16" max="16" width="12.81640625" style="84" customWidth="1"/>
    <col min="17" max="17" width="22" style="84" customWidth="1"/>
    <col min="18" max="18" width="20.453125" style="84" customWidth="1"/>
    <col min="19" max="19" width="13.1796875" style="87" customWidth="1"/>
    <col min="20" max="20" width="14.1796875" style="87" customWidth="1"/>
    <col min="21" max="21" width="20.26953125" style="88" customWidth="1"/>
    <col min="22" max="22" width="11.453125" style="89"/>
    <col min="23" max="16384" width="11.453125" style="84"/>
  </cols>
  <sheetData>
    <row r="1" spans="1:23" ht="23">
      <c r="A1" s="237" t="s">
        <v>0</v>
      </c>
      <c r="B1" s="237"/>
      <c r="C1" s="237"/>
      <c r="D1" s="90"/>
      <c r="E1" s="91"/>
      <c r="F1" s="91"/>
      <c r="G1" s="90"/>
      <c r="K1" s="238" t="s">
        <v>1</v>
      </c>
      <c r="L1" s="238"/>
      <c r="M1" s="238"/>
      <c r="N1" s="238"/>
      <c r="O1" s="238"/>
      <c r="P1" s="238"/>
      <c r="Q1" s="238"/>
      <c r="R1" s="238"/>
      <c r="S1" s="89"/>
      <c r="T1" s="89"/>
      <c r="U1" s="89"/>
    </row>
    <row r="2" spans="1:23" ht="23.25" customHeight="1">
      <c r="A2" s="92" t="s">
        <v>2</v>
      </c>
      <c r="B2" s="93" t="s">
        <v>3</v>
      </c>
      <c r="C2" s="94"/>
      <c r="D2" s="95"/>
      <c r="E2" s="239"/>
      <c r="F2" s="239"/>
      <c r="G2" s="239"/>
      <c r="H2" s="239"/>
      <c r="K2" s="240" t="s">
        <v>4</v>
      </c>
      <c r="L2" s="240"/>
      <c r="M2" s="240"/>
      <c r="N2" s="240"/>
      <c r="O2" s="240"/>
      <c r="P2" s="240"/>
      <c r="Q2" s="240"/>
      <c r="R2" s="240"/>
      <c r="S2" s="206"/>
      <c r="T2" s="206"/>
      <c r="U2" s="206"/>
    </row>
    <row r="3" spans="1:23" ht="21.75" customHeight="1">
      <c r="A3" s="96"/>
      <c r="B3" s="97"/>
      <c r="C3" s="98"/>
      <c r="E3" s="241" t="s">
        <v>5</v>
      </c>
      <c r="F3" s="241"/>
      <c r="G3" s="241"/>
      <c r="H3" s="241"/>
      <c r="K3" s="242" t="s">
        <v>6</v>
      </c>
      <c r="L3" s="242"/>
      <c r="M3" s="242"/>
      <c r="N3" s="242"/>
      <c r="O3" s="242"/>
      <c r="P3" s="242"/>
      <c r="Q3" s="242"/>
      <c r="R3" s="242"/>
      <c r="S3" s="207"/>
      <c r="T3" s="207"/>
      <c r="U3" s="207"/>
    </row>
    <row r="4" spans="1:23" ht="21.75" customHeight="1">
      <c r="A4" s="96" t="s">
        <v>7</v>
      </c>
      <c r="B4" s="97" t="s">
        <v>3</v>
      </c>
      <c r="C4" s="99"/>
      <c r="E4" s="243"/>
      <c r="F4" s="243"/>
      <c r="G4" s="243"/>
      <c r="H4" s="243"/>
      <c r="K4" s="244" t="s">
        <v>8</v>
      </c>
      <c r="L4" s="244"/>
      <c r="M4" s="244"/>
      <c r="N4" s="244"/>
      <c r="O4" s="244"/>
      <c r="P4" s="244"/>
      <c r="Q4" s="244"/>
      <c r="R4" s="244"/>
      <c r="S4" s="208"/>
      <c r="T4" s="208"/>
      <c r="U4" s="208"/>
    </row>
    <row r="5" spans="1:23" ht="21.75" customHeight="1">
      <c r="A5" s="96" t="s">
        <v>9</v>
      </c>
      <c r="B5" s="245" t="s">
        <v>10</v>
      </c>
      <c r="C5" s="246"/>
      <c r="D5" s="100"/>
      <c r="E5" s="243"/>
      <c r="F5" s="243"/>
      <c r="G5" s="243"/>
      <c r="H5" s="243"/>
      <c r="K5" s="244" t="s">
        <v>11</v>
      </c>
      <c r="L5" s="244"/>
      <c r="M5" s="244"/>
      <c r="N5" s="244"/>
      <c r="O5" s="244"/>
      <c r="P5" s="244"/>
      <c r="Q5" s="244"/>
      <c r="R5" s="244"/>
      <c r="S5" s="208"/>
      <c r="T5" s="208"/>
      <c r="U5" s="208"/>
    </row>
    <row r="6" spans="1:23" ht="21.75" customHeight="1">
      <c r="A6" s="101"/>
      <c r="B6" s="247"/>
      <c r="C6" s="248"/>
      <c r="D6" s="100"/>
      <c r="E6" s="243"/>
      <c r="F6" s="243"/>
      <c r="G6" s="243"/>
      <c r="H6" s="243"/>
      <c r="K6" s="244"/>
      <c r="L6" s="244"/>
      <c r="M6" s="244"/>
      <c r="N6" s="244"/>
      <c r="O6" s="244"/>
      <c r="P6" s="244"/>
      <c r="Q6" s="244"/>
      <c r="R6" s="244"/>
      <c r="S6" s="244"/>
      <c r="T6" s="159"/>
    </row>
    <row r="7" spans="1:23">
      <c r="I7" s="86"/>
    </row>
    <row r="8" spans="1:23" ht="15.75" customHeight="1">
      <c r="A8" s="335" t="s">
        <v>12</v>
      </c>
      <c r="B8" s="340" t="s">
        <v>13</v>
      </c>
      <c r="C8" s="340" t="s">
        <v>14</v>
      </c>
      <c r="D8" s="232" t="s">
        <v>15</v>
      </c>
      <c r="E8" s="256" t="s">
        <v>16</v>
      </c>
      <c r="F8" s="270" t="s">
        <v>17</v>
      </c>
      <c r="G8" s="234" t="s">
        <v>18</v>
      </c>
      <c r="H8" s="235"/>
      <c r="I8" s="235"/>
      <c r="J8" s="236"/>
      <c r="K8" s="249" t="s">
        <v>19</v>
      </c>
      <c r="L8" s="250"/>
      <c r="M8" s="250"/>
      <c r="N8" s="251"/>
      <c r="O8" s="258" t="s">
        <v>20</v>
      </c>
      <c r="P8" s="261" t="s">
        <v>21</v>
      </c>
      <c r="Q8" s="264" t="s">
        <v>22</v>
      </c>
      <c r="R8" s="266" t="s">
        <v>23</v>
      </c>
    </row>
    <row r="9" spans="1:23" ht="21" customHeight="1">
      <c r="A9" s="336"/>
      <c r="B9" s="341"/>
      <c r="C9" s="342"/>
      <c r="D9" s="343"/>
      <c r="E9" s="374"/>
      <c r="F9" s="271"/>
      <c r="G9" s="275" t="s">
        <v>24</v>
      </c>
      <c r="H9" s="232" t="s">
        <v>25</v>
      </c>
      <c r="I9" s="232" t="s">
        <v>26</v>
      </c>
      <c r="J9" s="273" t="s">
        <v>27</v>
      </c>
      <c r="K9" s="275" t="s">
        <v>28</v>
      </c>
      <c r="L9" s="232" t="s">
        <v>29</v>
      </c>
      <c r="M9" s="232" t="s">
        <v>30</v>
      </c>
      <c r="N9" s="256" t="s">
        <v>31</v>
      </c>
      <c r="O9" s="259"/>
      <c r="P9" s="262"/>
      <c r="Q9" s="265"/>
      <c r="R9" s="267"/>
    </row>
    <row r="10" spans="1:23">
      <c r="A10" s="337"/>
      <c r="B10" s="102" t="s">
        <v>32</v>
      </c>
      <c r="C10" s="103" t="s">
        <v>33</v>
      </c>
      <c r="D10" s="344"/>
      <c r="E10" s="375"/>
      <c r="F10" s="272"/>
      <c r="G10" s="276"/>
      <c r="H10" s="233"/>
      <c r="I10" s="233"/>
      <c r="J10" s="274"/>
      <c r="K10" s="276"/>
      <c r="L10" s="233"/>
      <c r="M10" s="233"/>
      <c r="N10" s="257"/>
      <c r="O10" s="260"/>
      <c r="P10" s="263"/>
      <c r="Q10" s="209" t="s">
        <v>34</v>
      </c>
      <c r="R10" s="210" t="s">
        <v>34</v>
      </c>
    </row>
    <row r="11" spans="1:23" s="85" customFormat="1" ht="27.75" customHeight="1">
      <c r="A11" s="338"/>
      <c r="B11" s="104"/>
      <c r="C11" s="105"/>
      <c r="D11" s="106"/>
      <c r="E11" s="107" t="s">
        <v>35</v>
      </c>
      <c r="F11" s="376"/>
      <c r="G11" s="108"/>
      <c r="H11" s="108"/>
      <c r="I11" s="108" t="str">
        <f>IF(SUMIF('packing list'!$M$5:$M$28,I$9,'packing list'!$K$5:$K$28)=0,"",SUMIF('packing list'!$M$5:$M$28,I$9,'packing list'!$K$5:$K$28))</f>
        <v/>
      </c>
      <c r="J11" s="108"/>
      <c r="K11" s="160"/>
      <c r="L11" s="108"/>
      <c r="M11" s="108" t="str">
        <f>IF(SUMIF('packing list'!$M$5:$M$28,M$9,'packing list'!$K$5:$K$28)=0,"",SUMIF('packing list'!$M$5:$M$28,M$9,'packing list'!$K$5:$K$28))</f>
        <v/>
      </c>
      <c r="N11" s="161" t="str">
        <f>IF(SUMIF('packing list'!$M$5:$M$28,N$9,'packing list'!$K$5:$K$28)=0,"",SUMIF('packing list'!$M$5:$M$28,N$9,'packing list'!$K$5:$K$28))</f>
        <v/>
      </c>
      <c r="O11" s="162">
        <f>SUM(G11:J11)*12+SUM(K11:N11)*6</f>
        <v>0</v>
      </c>
      <c r="P11" s="163">
        <f>SUM(G11:N11)</f>
        <v>0</v>
      </c>
      <c r="Q11" s="211"/>
      <c r="R11" s="212">
        <f>Q11*O11</f>
        <v>0</v>
      </c>
      <c r="V11" s="213"/>
    </row>
    <row r="12" spans="1:23" s="85" customFormat="1" ht="27.75" customHeight="1">
      <c r="A12" s="339"/>
      <c r="B12" s="109"/>
      <c r="C12" s="110"/>
      <c r="D12" s="111"/>
      <c r="E12" s="107" t="s">
        <v>35</v>
      </c>
      <c r="F12" s="377"/>
      <c r="G12" s="112"/>
      <c r="H12" s="112"/>
      <c r="I12" s="112"/>
      <c r="J12" s="112" t="str">
        <f>IF(SUMIF('packing list'!$M$5:$M$28,J$9,'packing list'!$X$5:$X$28)=0,"",SUMIF('packing list'!$M$5:$M$28,J$9,'packing list'!$X$5:$X$28))</f>
        <v/>
      </c>
      <c r="K12" s="164" t="str">
        <f>IF(SUMIF('packing list'!$M$5:$M$28,K$9,'packing list'!$X$5:$X$28)=0,"",SUMIF('packing list'!$M$5:$M$28,K$9,'packing list'!$X$5:$X$28))</f>
        <v/>
      </c>
      <c r="L12" s="112" t="str">
        <f>IF(SUMIF('packing list'!$M$5:$M$28,L$9,'packing list'!$X$5:$X$28)=0,"",SUMIF('packing list'!$M$5:$M$28,L$9,'packing list'!$X$5:$X$28))</f>
        <v/>
      </c>
      <c r="M12" s="112" t="str">
        <f>IF(SUMIF('packing list'!$M$5:$M$28,M$9,'packing list'!$X$5:$X$28)=0,"",SUMIF('packing list'!$M$5:$M$28,M$9,'packing list'!$X$5:$X$28))</f>
        <v/>
      </c>
      <c r="N12" s="165" t="str">
        <f>IF(SUMIF('packing list'!$M$5:$M$28,N$9,'packing list'!$X$5:$X$28)=0,"",SUMIF('packing list'!$M$5:$M$28,N$9,'packing list'!$X$5:$X$28))</f>
        <v/>
      </c>
      <c r="O12" s="162">
        <f>SUM(G12:J12)*12+SUM(K12:N12)*6</f>
        <v>0</v>
      </c>
      <c r="P12" s="163">
        <f>SUM(G12:N12)</f>
        <v>0</v>
      </c>
      <c r="Q12" s="211"/>
      <c r="R12" s="212">
        <f>Q12*O12</f>
        <v>0</v>
      </c>
      <c r="V12" s="213"/>
    </row>
    <row r="13" spans="1:23" s="85" customFormat="1" ht="27.75" customHeight="1">
      <c r="A13" s="113"/>
      <c r="B13" s="112"/>
      <c r="C13" s="112"/>
      <c r="D13" s="111"/>
      <c r="E13" s="107" t="s">
        <v>35</v>
      </c>
      <c r="F13" s="377"/>
      <c r="G13" s="108" t="str">
        <f>IF(SUMIF('packing list'!$M$36:$M$59,G$9,'packing list'!$K$36:$K$59)=0,"",SUMIF('packing list'!$M$36:$M$59,G$9,'packing list'!$K$36:$K$59))</f>
        <v/>
      </c>
      <c r="H13" s="108" t="str">
        <f>IF(SUMIF('packing list'!$M$36:$M$59,H$9,'packing list'!$K$36:$K$59)=0,"",SUMIF('packing list'!$M$36:$M$59,H$9,'packing list'!$K$36:$K$59))</f>
        <v/>
      </c>
      <c r="I13" s="108" t="str">
        <f>IF(SUMIF('packing list'!$M$36:$M$59,I$9,'packing list'!$K$36:$K$59)=0,"",SUMIF('packing list'!$M$36:$M$59,I$9,'packing list'!$K$36:$K$59))</f>
        <v/>
      </c>
      <c r="J13" s="108" t="str">
        <f>IF(SUMIF('packing list'!$M$36:$M$59,J$9,'packing list'!$K$36:$K$59)=0,"",SUMIF('packing list'!$M$36:$M$59,J$9,'packing list'!$K$36:$K$59))</f>
        <v/>
      </c>
      <c r="K13" s="108"/>
      <c r="L13" s="108" t="str">
        <f>IF(SUMIF('packing list'!$M$36:$M$59,L$9,'packing list'!$K$36:$K$59)=0,"",SUMIF('packing list'!$M$36:$M$59,L$9,'packing list'!$K$36:$K$59))</f>
        <v/>
      </c>
      <c r="M13" s="108" t="str">
        <f>IF(SUMIF('packing list'!$M$36:$M$59,M$9,'packing list'!$K$36:$K$59)=0,"",SUMIF('packing list'!$M$36:$M$59,M$9,'packing list'!$K$36:$K$59))</f>
        <v/>
      </c>
      <c r="N13" s="166" t="str">
        <f>IF(SUMIF('packing list'!$M$36:$M$59,N$9,'packing list'!$K$36:$K$59)=0,"",SUMIF('packing list'!$M$36:$M$59,N$9,'packing list'!$K$36:$K$59))</f>
        <v/>
      </c>
      <c r="O13" s="162">
        <f>SUM(G13:J13)*12+SUM(K13:N13)*6</f>
        <v>0</v>
      </c>
      <c r="P13" s="163">
        <f>SUM(G13:N13)</f>
        <v>0</v>
      </c>
      <c r="Q13" s="211"/>
      <c r="R13" s="212"/>
      <c r="V13" s="213"/>
    </row>
    <row r="14" spans="1:23" s="85" customFormat="1" ht="27.75" customHeight="1">
      <c r="A14" s="114"/>
      <c r="B14" s="115"/>
      <c r="C14" s="116"/>
      <c r="D14" s="117"/>
      <c r="E14" s="118"/>
      <c r="F14" s="378"/>
      <c r="G14" s="119"/>
      <c r="H14" s="119"/>
      <c r="I14" s="119"/>
      <c r="J14" s="119"/>
      <c r="K14" s="119"/>
      <c r="L14" s="119"/>
      <c r="M14" s="119"/>
      <c r="N14" s="167"/>
      <c r="O14" s="168"/>
      <c r="P14" s="169"/>
      <c r="Q14" s="214"/>
      <c r="R14" s="215"/>
      <c r="V14" s="213"/>
    </row>
    <row r="15" spans="1:23" ht="27.75" customHeight="1">
      <c r="A15" s="120"/>
      <c r="B15" s="120"/>
      <c r="C15" s="120"/>
      <c r="D15" s="121"/>
      <c r="E15" s="120"/>
      <c r="F15" s="120"/>
      <c r="G15" s="120"/>
      <c r="H15" s="120"/>
      <c r="J15" s="120"/>
      <c r="K15" s="120"/>
      <c r="L15" s="120"/>
      <c r="M15" s="120"/>
      <c r="N15" s="120"/>
      <c r="O15" s="170">
        <f>SUM(O11:O14)</f>
        <v>0</v>
      </c>
      <c r="P15" s="170">
        <f>SUM(P11:P14)</f>
        <v>0</v>
      </c>
      <c r="Q15" s="216"/>
      <c r="R15" s="217">
        <f>SUM(R11:R14)</f>
        <v>0</v>
      </c>
    </row>
    <row r="16" spans="1:23" ht="36.75" customHeight="1">
      <c r="A16" s="122" t="s">
        <v>36</v>
      </c>
      <c r="B16" s="357"/>
      <c r="C16" s="357"/>
      <c r="D16" s="358"/>
      <c r="V16" s="218"/>
      <c r="W16" s="219"/>
    </row>
    <row r="17" spans="1:25" ht="28.5" customHeight="1">
      <c r="A17" s="123" t="s">
        <v>37</v>
      </c>
      <c r="B17" s="359"/>
      <c r="C17" s="359"/>
      <c r="D17" s="360"/>
      <c r="F17" s="252" t="s">
        <v>38</v>
      </c>
      <c r="G17" s="253"/>
      <c r="H17" s="255"/>
      <c r="I17" s="252" t="s">
        <v>39</v>
      </c>
      <c r="J17" s="255"/>
      <c r="K17" s="252" t="s">
        <v>40</v>
      </c>
      <c r="L17" s="253"/>
      <c r="M17" s="254"/>
      <c r="N17" s="253"/>
      <c r="O17" s="253"/>
      <c r="P17" s="253"/>
      <c r="Q17" s="255"/>
      <c r="R17" s="268" t="s">
        <v>41</v>
      </c>
      <c r="T17" s="88"/>
      <c r="U17" s="195"/>
      <c r="V17" s="220"/>
      <c r="W17" s="120"/>
    </row>
    <row r="18" spans="1:25" ht="24.75" customHeight="1">
      <c r="A18" s="124" t="s">
        <v>42</v>
      </c>
      <c r="B18" s="353"/>
      <c r="C18" s="353"/>
      <c r="D18" s="354"/>
      <c r="F18" s="361"/>
      <c r="G18" s="362"/>
      <c r="H18" s="363"/>
      <c r="I18" s="379"/>
      <c r="J18" s="380"/>
      <c r="K18" s="171">
        <f>'packing list'!B4</f>
        <v>35</v>
      </c>
      <c r="L18" s="172">
        <f t="shared" ref="L18:Q18" si="0">K18+1</f>
        <v>36</v>
      </c>
      <c r="M18" s="172">
        <f t="shared" si="0"/>
        <v>37</v>
      </c>
      <c r="N18" s="172">
        <f t="shared" si="0"/>
        <v>38</v>
      </c>
      <c r="O18" s="172">
        <f t="shared" si="0"/>
        <v>39</v>
      </c>
      <c r="P18" s="172">
        <f t="shared" si="0"/>
        <v>40</v>
      </c>
      <c r="Q18" s="221">
        <f t="shared" si="0"/>
        <v>41</v>
      </c>
      <c r="R18" s="269"/>
      <c r="T18" s="88"/>
      <c r="U18" s="218"/>
      <c r="V18" s="219"/>
      <c r="W18" s="120"/>
      <c r="X18" s="120"/>
    </row>
    <row r="19" spans="1:25" ht="24.75" customHeight="1">
      <c r="A19" s="125" t="s">
        <v>43</v>
      </c>
      <c r="B19" s="355"/>
      <c r="C19" s="355"/>
      <c r="D19" s="356"/>
      <c r="F19" s="364">
        <f>C11</f>
        <v>0</v>
      </c>
      <c r="G19" s="365"/>
      <c r="H19" s="366"/>
      <c r="I19" s="372">
        <f>D11</f>
        <v>0</v>
      </c>
      <c r="J19" s="373"/>
      <c r="K19" s="173"/>
      <c r="L19" s="174"/>
      <c r="M19" s="174"/>
      <c r="N19" s="174"/>
      <c r="O19" s="174"/>
      <c r="P19" s="174"/>
      <c r="Q19" s="222">
        <f>'packing list'!H29</f>
        <v>0</v>
      </c>
      <c r="R19" s="223">
        <f>SUM(K19:Q19)</f>
        <v>0</v>
      </c>
      <c r="T19" s="88"/>
      <c r="U19" s="218"/>
      <c r="V19" s="219"/>
      <c r="W19" s="224"/>
      <c r="X19" s="224"/>
    </row>
    <row r="20" spans="1:25" ht="24.75" customHeight="1">
      <c r="A20" s="126" t="s">
        <v>44</v>
      </c>
      <c r="B20" s="349" t="s">
        <v>45</v>
      </c>
      <c r="C20" s="349"/>
      <c r="D20" s="350"/>
      <c r="F20" s="367"/>
      <c r="G20" s="238"/>
      <c r="H20" s="368"/>
      <c r="I20" s="372">
        <f>D12</f>
        <v>0</v>
      </c>
      <c r="J20" s="373"/>
      <c r="K20" s="175"/>
      <c r="L20" s="176"/>
      <c r="M20" s="176"/>
      <c r="N20" s="176"/>
      <c r="O20" s="176"/>
      <c r="P20" s="176"/>
      <c r="Q20" s="225">
        <f>'packing list'!U29</f>
        <v>0</v>
      </c>
      <c r="R20" s="226">
        <f>SUM(K20:Q20)</f>
        <v>0</v>
      </c>
      <c r="T20" s="88"/>
      <c r="U20" s="218"/>
      <c r="V20" s="219"/>
      <c r="W20" s="224"/>
      <c r="X20" s="224"/>
    </row>
    <row r="21" spans="1:25" ht="24.75" customHeight="1">
      <c r="A21" s="127"/>
      <c r="B21" s="351"/>
      <c r="C21" s="351"/>
      <c r="D21" s="352"/>
      <c r="F21" s="369"/>
      <c r="G21" s="370"/>
      <c r="H21" s="371"/>
      <c r="I21" s="372">
        <f>D13</f>
        <v>0</v>
      </c>
      <c r="J21" s="373"/>
      <c r="K21" s="175"/>
      <c r="L21" s="175"/>
      <c r="M21" s="175"/>
      <c r="N21" s="175"/>
      <c r="O21" s="175"/>
      <c r="P21" s="175"/>
      <c r="Q21" s="225">
        <f>'packing list'!U30</f>
        <v>0</v>
      </c>
      <c r="R21" s="226">
        <f>SUM(K21:Q21)</f>
        <v>0</v>
      </c>
      <c r="T21" s="88"/>
      <c r="U21" s="218"/>
      <c r="V21" s="219"/>
      <c r="W21" s="224"/>
      <c r="X21" s="224"/>
    </row>
    <row r="22" spans="1:25" ht="24.75" customHeight="1">
      <c r="A22" s="128" t="s">
        <v>46</v>
      </c>
      <c r="B22" s="353"/>
      <c r="C22" s="353"/>
      <c r="D22" s="354"/>
      <c r="F22" s="129"/>
      <c r="G22" s="129"/>
      <c r="I22" s="131"/>
      <c r="J22" s="131"/>
      <c r="K22" s="177">
        <f t="shared" ref="K22:Q22" si="1">SUM(K19:K21)</f>
        <v>0</v>
      </c>
      <c r="L22" s="178">
        <f t="shared" si="1"/>
        <v>0</v>
      </c>
      <c r="M22" s="178">
        <f t="shared" si="1"/>
        <v>0</v>
      </c>
      <c r="N22" s="178">
        <f t="shared" si="1"/>
        <v>0</v>
      </c>
      <c r="O22" s="178">
        <f t="shared" si="1"/>
        <v>0</v>
      </c>
      <c r="P22" s="178">
        <f t="shared" si="1"/>
        <v>0</v>
      </c>
      <c r="Q22" s="227">
        <f t="shared" si="1"/>
        <v>0</v>
      </c>
      <c r="R22" s="228">
        <f>SUM(K22:Q22)</f>
        <v>0</v>
      </c>
      <c r="V22" s="218"/>
      <c r="W22" s="219"/>
      <c r="X22" s="224"/>
      <c r="Y22" s="224"/>
    </row>
    <row r="23" spans="1:25" ht="24.75" customHeight="1">
      <c r="A23" s="130" t="s">
        <v>47</v>
      </c>
      <c r="B23" s="345"/>
      <c r="C23" s="345"/>
      <c r="D23" s="346"/>
      <c r="F23" s="129"/>
      <c r="G23" s="129"/>
      <c r="H23" s="131"/>
      <c r="I23" s="131"/>
      <c r="J23" s="179"/>
      <c r="K23" s="180"/>
      <c r="L23" s="180"/>
      <c r="M23" s="180"/>
      <c r="N23" s="180"/>
      <c r="O23" s="180"/>
      <c r="P23" s="180"/>
      <c r="Q23" s="179"/>
      <c r="R23" s="129"/>
      <c r="V23" s="218"/>
      <c r="W23" s="219"/>
      <c r="X23" s="224"/>
      <c r="Y23" s="224"/>
    </row>
    <row r="24" spans="1:25" ht="24.75" customHeight="1">
      <c r="A24" s="132"/>
      <c r="B24" s="347"/>
      <c r="C24" s="347"/>
      <c r="D24" s="348"/>
      <c r="V24" s="218"/>
      <c r="W24" s="219"/>
      <c r="X24" s="224"/>
      <c r="Y24" s="224"/>
    </row>
    <row r="25" spans="1:25" ht="24.75" customHeight="1">
      <c r="A25" s="134"/>
      <c r="B25" s="135"/>
      <c r="C25" s="135"/>
      <c r="D25" s="136"/>
      <c r="E25" s="120"/>
      <c r="F25" s="120"/>
      <c r="G25" s="120"/>
      <c r="H25" s="137"/>
      <c r="I25" s="137"/>
      <c r="J25" s="120"/>
      <c r="K25" s="120"/>
      <c r="L25" s="120"/>
      <c r="M25" s="120"/>
      <c r="N25" s="120"/>
      <c r="P25" s="120"/>
      <c r="Q25" s="143"/>
      <c r="R25" s="143"/>
      <c r="S25" s="143"/>
      <c r="T25" s="143"/>
      <c r="U25" s="143"/>
      <c r="V25" s="143"/>
      <c r="W25" s="220"/>
      <c r="X25" s="120"/>
    </row>
    <row r="26" spans="1:25" ht="28.5" customHeight="1">
      <c r="A26" s="277" t="s">
        <v>48</v>
      </c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9"/>
      <c r="S26" s="218"/>
      <c r="T26" s="218"/>
      <c r="U26" s="219"/>
    </row>
    <row r="27" spans="1:25" ht="24.75" customHeight="1">
      <c r="A27" s="280">
        <f>C11</f>
        <v>0</v>
      </c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2"/>
      <c r="S27" s="195"/>
      <c r="T27" s="195"/>
      <c r="U27" s="220"/>
    </row>
    <row r="28" spans="1:25" ht="24.75" customHeight="1">
      <c r="A28" s="303"/>
      <c r="B28" s="303"/>
      <c r="C28" s="300"/>
      <c r="D28" s="300"/>
      <c r="E28" s="300"/>
      <c r="F28" s="291"/>
      <c r="G28" s="292"/>
      <c r="H28" s="292"/>
      <c r="I28" s="292"/>
      <c r="J28" s="292"/>
      <c r="K28" s="293"/>
      <c r="L28" s="181"/>
      <c r="M28" s="182"/>
      <c r="N28" s="183"/>
      <c r="O28" s="183"/>
      <c r="P28" s="183"/>
      <c r="Q28" s="183"/>
      <c r="R28" s="229"/>
      <c r="S28" s="218"/>
      <c r="T28" s="218"/>
      <c r="U28" s="219"/>
    </row>
    <row r="29" spans="1:25" ht="24.75" customHeight="1">
      <c r="A29" s="304"/>
      <c r="B29" s="304"/>
      <c r="C29" s="301"/>
      <c r="D29" s="301"/>
      <c r="E29" s="301"/>
      <c r="F29" s="294"/>
      <c r="G29" s="295"/>
      <c r="H29" s="295"/>
      <c r="I29" s="295"/>
      <c r="J29" s="295"/>
      <c r="K29" s="296"/>
      <c r="L29" s="184"/>
      <c r="M29" s="185"/>
      <c r="N29" s="186"/>
      <c r="O29" s="186"/>
      <c r="P29" s="186"/>
      <c r="Q29" s="186"/>
      <c r="R29" s="230"/>
      <c r="S29" s="218"/>
      <c r="T29" s="218"/>
      <c r="U29" s="219"/>
    </row>
    <row r="30" spans="1:25" ht="24.75" customHeight="1">
      <c r="A30" s="304"/>
      <c r="B30" s="304"/>
      <c r="C30" s="301"/>
      <c r="D30" s="301"/>
      <c r="E30" s="301"/>
      <c r="F30" s="294"/>
      <c r="G30" s="295"/>
      <c r="H30" s="295"/>
      <c r="I30" s="295"/>
      <c r="J30" s="295"/>
      <c r="K30" s="296"/>
      <c r="L30" s="184"/>
      <c r="M30" s="185"/>
      <c r="N30" s="186"/>
      <c r="O30" s="186"/>
      <c r="P30" s="186"/>
      <c r="Q30" s="186"/>
      <c r="R30" s="230"/>
      <c r="S30" s="218"/>
      <c r="T30" s="218"/>
      <c r="U30" s="219"/>
    </row>
    <row r="31" spans="1:25" ht="24.75" customHeight="1">
      <c r="A31" s="304"/>
      <c r="B31" s="304"/>
      <c r="C31" s="301"/>
      <c r="D31" s="301"/>
      <c r="E31" s="301"/>
      <c r="F31" s="294"/>
      <c r="G31" s="295"/>
      <c r="H31" s="295"/>
      <c r="I31" s="295"/>
      <c r="J31" s="295"/>
      <c r="K31" s="296"/>
      <c r="L31" s="184"/>
      <c r="M31" s="185"/>
      <c r="N31" s="186"/>
      <c r="O31" s="186"/>
      <c r="P31" s="186"/>
      <c r="Q31" s="186"/>
      <c r="R31" s="230"/>
      <c r="S31" s="218"/>
      <c r="T31" s="218"/>
      <c r="U31" s="219"/>
    </row>
    <row r="32" spans="1:25" ht="28.5" customHeight="1">
      <c r="A32" s="304"/>
      <c r="B32" s="304"/>
      <c r="C32" s="301"/>
      <c r="D32" s="301"/>
      <c r="E32" s="301"/>
      <c r="F32" s="294"/>
      <c r="G32" s="295"/>
      <c r="H32" s="295"/>
      <c r="I32" s="295"/>
      <c r="J32" s="295"/>
      <c r="K32" s="296"/>
      <c r="L32" s="184"/>
      <c r="M32" s="185"/>
      <c r="N32" s="186"/>
      <c r="O32" s="186"/>
      <c r="P32" s="306"/>
      <c r="Q32" s="306"/>
      <c r="R32" s="307"/>
      <c r="S32" s="218"/>
      <c r="T32" s="218"/>
      <c r="U32" s="219"/>
    </row>
    <row r="33" spans="1:21" ht="24.75" customHeight="1">
      <c r="A33" s="304"/>
      <c r="B33" s="304"/>
      <c r="C33" s="301"/>
      <c r="D33" s="301"/>
      <c r="E33" s="301"/>
      <c r="F33" s="294"/>
      <c r="G33" s="295"/>
      <c r="H33" s="295"/>
      <c r="I33" s="295"/>
      <c r="J33" s="295"/>
      <c r="K33" s="296"/>
      <c r="L33" s="184"/>
      <c r="M33" s="185"/>
      <c r="N33" s="186"/>
      <c r="O33" s="186"/>
      <c r="P33" s="306"/>
      <c r="Q33" s="306"/>
      <c r="R33" s="307"/>
      <c r="S33" s="218"/>
      <c r="T33" s="218"/>
      <c r="U33" s="219"/>
    </row>
    <row r="34" spans="1:21" ht="24.75" customHeight="1">
      <c r="A34" s="304"/>
      <c r="B34" s="304"/>
      <c r="C34" s="301"/>
      <c r="D34" s="301"/>
      <c r="E34" s="301"/>
      <c r="F34" s="294"/>
      <c r="G34" s="295"/>
      <c r="H34" s="295"/>
      <c r="I34" s="295"/>
      <c r="J34" s="295"/>
      <c r="K34" s="296"/>
      <c r="L34" s="308"/>
      <c r="M34" s="306"/>
      <c r="N34" s="306"/>
      <c r="O34" s="306"/>
      <c r="P34" s="306"/>
      <c r="Q34" s="306"/>
      <c r="R34" s="307"/>
      <c r="S34" s="218"/>
      <c r="T34" s="218"/>
      <c r="U34" s="219"/>
    </row>
    <row r="35" spans="1:21" ht="30.75" customHeight="1">
      <c r="A35" s="305"/>
      <c r="B35" s="305"/>
      <c r="C35" s="302"/>
      <c r="D35" s="302"/>
      <c r="E35" s="302"/>
      <c r="F35" s="297"/>
      <c r="G35" s="298"/>
      <c r="H35" s="298"/>
      <c r="I35" s="298"/>
      <c r="J35" s="298"/>
      <c r="K35" s="299"/>
      <c r="L35" s="309"/>
      <c r="M35" s="310"/>
      <c r="N35" s="310"/>
      <c r="O35" s="310"/>
      <c r="P35" s="310"/>
      <c r="Q35" s="310"/>
      <c r="R35" s="311"/>
      <c r="S35" s="143"/>
      <c r="T35" s="143"/>
      <c r="U35" s="220"/>
    </row>
    <row r="36" spans="1:21" ht="39" customHeight="1">
      <c r="A36" s="283">
        <f>D11</f>
        <v>0</v>
      </c>
      <c r="B36" s="283"/>
      <c r="C36" s="284">
        <f>D12</f>
        <v>0</v>
      </c>
      <c r="D36" s="284"/>
      <c r="E36" s="284"/>
      <c r="F36" s="285">
        <f>D13</f>
        <v>0</v>
      </c>
      <c r="G36" s="286"/>
      <c r="H36" s="286"/>
      <c r="I36" s="286"/>
      <c r="J36" s="286"/>
      <c r="K36" s="287"/>
      <c r="L36" s="288"/>
      <c r="M36" s="289"/>
      <c r="N36" s="289"/>
      <c r="O36" s="289"/>
      <c r="P36" s="289"/>
      <c r="Q36" s="289"/>
      <c r="R36" s="290"/>
      <c r="S36" s="84"/>
      <c r="T36" s="84"/>
      <c r="U36" s="84"/>
    </row>
    <row r="37" spans="1:21" ht="14.25" customHeight="1">
      <c r="A37" s="312"/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4"/>
      <c r="S37" s="84"/>
      <c r="T37" s="84"/>
      <c r="U37" s="84"/>
    </row>
    <row r="38" spans="1:21" ht="36" customHeight="1">
      <c r="A38" s="315" t="s">
        <v>49</v>
      </c>
      <c r="B38" s="316"/>
      <c r="C38" s="317" t="s">
        <v>50</v>
      </c>
      <c r="D38" s="318"/>
      <c r="E38" s="318"/>
      <c r="F38" s="319"/>
      <c r="G38" s="320" t="s">
        <v>51</v>
      </c>
      <c r="H38" s="321"/>
      <c r="I38" s="321"/>
      <c r="J38" s="322"/>
      <c r="K38" s="323" t="s">
        <v>52</v>
      </c>
      <c r="L38" s="324"/>
      <c r="M38" s="324"/>
      <c r="N38" s="324"/>
      <c r="O38" s="325"/>
      <c r="P38" s="323" t="s">
        <v>53</v>
      </c>
      <c r="Q38" s="324"/>
      <c r="R38" s="325"/>
    </row>
    <row r="39" spans="1:21">
      <c r="A39" s="326" t="s">
        <v>54</v>
      </c>
      <c r="B39" s="328"/>
      <c r="C39" s="326" t="s">
        <v>55</v>
      </c>
      <c r="D39" s="327"/>
      <c r="E39" s="327"/>
      <c r="F39" s="328"/>
      <c r="G39" s="329" t="s">
        <v>56</v>
      </c>
      <c r="H39" s="330"/>
      <c r="I39" s="330"/>
      <c r="J39" s="331"/>
      <c r="K39" s="332" t="s">
        <v>57</v>
      </c>
      <c r="L39" s="333"/>
      <c r="M39" s="333"/>
      <c r="N39" s="333"/>
      <c r="O39" s="334"/>
      <c r="P39" s="326"/>
      <c r="Q39" s="327"/>
      <c r="R39" s="328"/>
    </row>
    <row r="40" spans="1:21">
      <c r="A40" s="138"/>
      <c r="B40" s="139"/>
      <c r="C40" s="140"/>
      <c r="D40" s="141"/>
      <c r="E40" s="141"/>
      <c r="F40" s="142"/>
      <c r="G40" s="138"/>
      <c r="H40" s="143"/>
      <c r="I40" s="143"/>
      <c r="J40" s="187"/>
      <c r="K40" s="181"/>
      <c r="L40" s="188"/>
      <c r="M40" s="141"/>
      <c r="N40" s="189"/>
      <c r="O40" s="187"/>
      <c r="P40" s="190"/>
      <c r="Q40" s="141"/>
      <c r="R40" s="187"/>
    </row>
    <row r="41" spans="1:21">
      <c r="A41" s="138"/>
      <c r="B41" s="139"/>
      <c r="C41" s="138"/>
      <c r="D41" s="143"/>
      <c r="E41" s="143"/>
      <c r="F41" s="144"/>
      <c r="G41" s="138"/>
      <c r="H41" s="143"/>
      <c r="I41" s="143"/>
      <c r="J41" s="139"/>
      <c r="K41" s="138"/>
      <c r="L41" s="191"/>
      <c r="M41" s="143"/>
      <c r="N41" s="192"/>
      <c r="O41" s="139"/>
      <c r="P41" s="193"/>
      <c r="Q41" s="143"/>
      <c r="R41" s="139"/>
    </row>
    <row r="42" spans="1:21">
      <c r="A42" s="138"/>
      <c r="B42" s="139"/>
      <c r="C42" s="138"/>
      <c r="D42" s="143"/>
      <c r="E42" s="143"/>
      <c r="F42" s="144"/>
      <c r="G42" s="138"/>
      <c r="H42" s="143"/>
      <c r="I42" s="143"/>
      <c r="J42" s="139"/>
      <c r="K42" s="138"/>
      <c r="L42" s="191"/>
      <c r="M42" s="143"/>
      <c r="N42" s="192"/>
      <c r="O42" s="139"/>
      <c r="P42" s="193"/>
      <c r="Q42" s="143"/>
      <c r="R42" s="139"/>
      <c r="U42" s="231"/>
    </row>
    <row r="43" spans="1:21">
      <c r="A43" s="138"/>
      <c r="B43" s="139"/>
      <c r="C43" s="138"/>
      <c r="D43" s="143"/>
      <c r="E43" s="143"/>
      <c r="F43" s="144"/>
      <c r="G43" s="138"/>
      <c r="H43" s="143"/>
      <c r="I43" s="143"/>
      <c r="J43" s="139"/>
      <c r="K43" s="138"/>
      <c r="L43" s="191"/>
      <c r="M43" s="143"/>
      <c r="N43" s="192"/>
      <c r="O43" s="139"/>
      <c r="P43" s="193"/>
      <c r="Q43" s="143"/>
      <c r="R43" s="139"/>
    </row>
    <row r="44" spans="1:21">
      <c r="A44" s="138"/>
      <c r="B44" s="139"/>
      <c r="C44" s="145"/>
      <c r="D44" s="146"/>
      <c r="E44" s="143"/>
      <c r="F44" s="139"/>
      <c r="G44" s="138"/>
      <c r="H44" s="143"/>
      <c r="I44" s="143"/>
      <c r="J44" s="139"/>
      <c r="K44" s="138"/>
      <c r="L44" s="191"/>
      <c r="M44" s="143"/>
      <c r="N44" s="192"/>
      <c r="O44" s="139"/>
      <c r="P44" s="193"/>
      <c r="Q44" s="143"/>
      <c r="R44" s="139"/>
    </row>
    <row r="45" spans="1:21">
      <c r="A45" s="138"/>
      <c r="B45" s="139"/>
      <c r="C45" s="147"/>
      <c r="D45" s="148"/>
      <c r="E45" s="143"/>
      <c r="F45" s="139"/>
      <c r="G45" s="138"/>
      <c r="H45" s="143"/>
      <c r="I45" s="143"/>
      <c r="J45" s="139"/>
      <c r="K45" s="138"/>
      <c r="L45" s="194"/>
      <c r="M45" s="195"/>
      <c r="N45" s="196"/>
      <c r="O45" s="197"/>
      <c r="P45" s="149"/>
      <c r="Q45" s="195"/>
      <c r="R45" s="197"/>
    </row>
    <row r="46" spans="1:21">
      <c r="A46" s="138"/>
      <c r="B46" s="139"/>
      <c r="C46" s="147"/>
      <c r="D46" s="148"/>
      <c r="E46" s="143"/>
      <c r="F46" s="139"/>
      <c r="G46" s="138"/>
      <c r="H46" s="143"/>
      <c r="I46" s="143"/>
      <c r="J46" s="139"/>
      <c r="K46" s="138"/>
      <c r="L46" s="194"/>
      <c r="M46" s="195"/>
      <c r="N46" s="196"/>
      <c r="O46" s="197"/>
      <c r="P46" s="149"/>
      <c r="Q46" s="195"/>
      <c r="R46" s="197"/>
    </row>
    <row r="47" spans="1:21" ht="19">
      <c r="A47" s="138"/>
      <c r="B47" s="139"/>
      <c r="C47" s="147"/>
      <c r="D47" s="148"/>
      <c r="E47" s="143"/>
      <c r="F47" s="139"/>
      <c r="G47" s="149"/>
      <c r="H47" s="120"/>
      <c r="I47" s="120"/>
      <c r="J47" s="198"/>
      <c r="K47" s="150"/>
      <c r="L47" s="194"/>
      <c r="M47" s="195"/>
      <c r="N47" s="196"/>
      <c r="O47" s="197"/>
      <c r="P47" s="149"/>
      <c r="Q47" s="195"/>
      <c r="R47" s="197"/>
    </row>
    <row r="48" spans="1:21">
      <c r="A48" s="138"/>
      <c r="B48" s="139"/>
      <c r="C48" s="147"/>
      <c r="D48" s="148"/>
      <c r="E48" s="143"/>
      <c r="F48" s="139"/>
      <c r="G48" s="138"/>
      <c r="H48" s="143"/>
      <c r="I48" s="143"/>
      <c r="J48" s="139"/>
      <c r="K48" s="138"/>
      <c r="L48" s="194"/>
      <c r="M48" s="195"/>
      <c r="N48" s="196"/>
      <c r="O48" s="197"/>
      <c r="P48" s="149"/>
      <c r="Q48" s="195"/>
      <c r="R48" s="197"/>
    </row>
    <row r="49" spans="1:18" ht="19">
      <c r="A49" s="138"/>
      <c r="B49" s="139"/>
      <c r="C49" s="147"/>
      <c r="D49" s="148"/>
      <c r="E49" s="143"/>
      <c r="F49" s="139"/>
      <c r="G49" s="150"/>
      <c r="H49" s="151"/>
      <c r="I49" s="151"/>
      <c r="J49" s="199"/>
      <c r="K49" s="138"/>
      <c r="L49" s="200"/>
      <c r="M49" s="195"/>
      <c r="N49" s="196"/>
      <c r="O49" s="197"/>
      <c r="P49" s="150"/>
      <c r="Q49" s="195"/>
      <c r="R49" s="197"/>
    </row>
    <row r="50" spans="1:18">
      <c r="A50" s="138"/>
      <c r="B50" s="139"/>
      <c r="C50" s="147"/>
      <c r="D50" s="148"/>
      <c r="E50" s="143"/>
      <c r="F50" s="139"/>
      <c r="G50" s="138"/>
      <c r="H50" s="143"/>
      <c r="I50" s="143"/>
      <c r="J50" s="139"/>
      <c r="K50" s="138"/>
      <c r="L50" s="194"/>
      <c r="M50" s="195"/>
      <c r="N50" s="196"/>
      <c r="O50" s="197"/>
      <c r="P50" s="149"/>
      <c r="Q50" s="195"/>
      <c r="R50" s="197"/>
    </row>
    <row r="51" spans="1:18">
      <c r="A51" s="138"/>
      <c r="B51" s="139"/>
      <c r="C51" s="147"/>
      <c r="D51" s="148"/>
      <c r="E51" s="143"/>
      <c r="F51" s="139"/>
      <c r="G51" s="138"/>
      <c r="H51" s="143"/>
      <c r="I51" s="143"/>
      <c r="J51" s="139"/>
      <c r="K51" s="138"/>
      <c r="L51" s="194"/>
      <c r="M51" s="195"/>
      <c r="N51" s="196"/>
      <c r="O51" s="197"/>
      <c r="P51" s="149"/>
      <c r="Q51" s="195"/>
      <c r="R51" s="197"/>
    </row>
    <row r="52" spans="1:18">
      <c r="A52" s="152"/>
      <c r="B52" s="153"/>
      <c r="C52" s="154"/>
      <c r="D52" s="155"/>
      <c r="E52" s="133"/>
      <c r="F52" s="156"/>
      <c r="G52" s="157"/>
      <c r="H52" s="158"/>
      <c r="I52" s="158"/>
      <c r="J52" s="153"/>
      <c r="K52" s="152"/>
      <c r="L52" s="201"/>
      <c r="M52" s="202"/>
      <c r="N52" s="203"/>
      <c r="O52" s="204"/>
      <c r="P52" s="205"/>
      <c r="Q52" s="202"/>
      <c r="R52" s="204"/>
    </row>
  </sheetData>
  <mergeCells count="70">
    <mergeCell ref="I20:J20"/>
    <mergeCell ref="I21:J21"/>
    <mergeCell ref="I19:J19"/>
    <mergeCell ref="E8:E10"/>
    <mergeCell ref="F11:F14"/>
    <mergeCell ref="I17:J18"/>
    <mergeCell ref="B23:D24"/>
    <mergeCell ref="B20:D21"/>
    <mergeCell ref="B18:D19"/>
    <mergeCell ref="B16:D17"/>
    <mergeCell ref="F17:H18"/>
    <mergeCell ref="B22:D22"/>
    <mergeCell ref="F19:H21"/>
    <mergeCell ref="A8:A10"/>
    <mergeCell ref="A11:A12"/>
    <mergeCell ref="B8:B9"/>
    <mergeCell ref="C8:C9"/>
    <mergeCell ref="D8:D10"/>
    <mergeCell ref="A37:R37"/>
    <mergeCell ref="A38:B38"/>
    <mergeCell ref="C38:F38"/>
    <mergeCell ref="G38:J38"/>
    <mergeCell ref="K38:O38"/>
    <mergeCell ref="P38:R39"/>
    <mergeCell ref="A39:B39"/>
    <mergeCell ref="C39:F39"/>
    <mergeCell ref="G39:J39"/>
    <mergeCell ref="K39:O39"/>
    <mergeCell ref="A26:R26"/>
    <mergeCell ref="A27:R27"/>
    <mergeCell ref="A36:B36"/>
    <mergeCell ref="C36:E36"/>
    <mergeCell ref="F36:K36"/>
    <mergeCell ref="L36:R36"/>
    <mergeCell ref="F28:K35"/>
    <mergeCell ref="C28:E35"/>
    <mergeCell ref="A28:B35"/>
    <mergeCell ref="P32:R33"/>
    <mergeCell ref="L34:R35"/>
    <mergeCell ref="R8:R9"/>
    <mergeCell ref="R17:R18"/>
    <mergeCell ref="F8:F10"/>
    <mergeCell ref="H9:H10"/>
    <mergeCell ref="I9:I10"/>
    <mergeCell ref="J9:J10"/>
    <mergeCell ref="G9:G10"/>
    <mergeCell ref="K9:K10"/>
    <mergeCell ref="K8:N8"/>
    <mergeCell ref="K17:Q17"/>
    <mergeCell ref="N9:N10"/>
    <mergeCell ref="E6:H6"/>
    <mergeCell ref="O8:O10"/>
    <mergeCell ref="P8:P10"/>
    <mergeCell ref="Q8:Q9"/>
    <mergeCell ref="L9:L10"/>
    <mergeCell ref="M9:M10"/>
    <mergeCell ref="G8:J8"/>
    <mergeCell ref="A1:C1"/>
    <mergeCell ref="K1:R1"/>
    <mergeCell ref="E2:H2"/>
    <mergeCell ref="K2:R2"/>
    <mergeCell ref="E3:H3"/>
    <mergeCell ref="K3:R3"/>
    <mergeCell ref="E4:H4"/>
    <mergeCell ref="K4:R4"/>
    <mergeCell ref="B5:C5"/>
    <mergeCell ref="E5:H5"/>
    <mergeCell ref="K5:R5"/>
    <mergeCell ref="B6:C6"/>
    <mergeCell ref="K6:S6"/>
  </mergeCells>
  <printOptions horizontalCentered="1" verticalCentered="1"/>
  <pageMargins left="0.27559055118110198" right="0.27559055118110198" top="0.27" bottom="0.23622047244094499" header="0" footer="0"/>
  <pageSetup paperSize="9" scale="36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topLeftCell="A28" zoomScale="85" workbookViewId="0">
      <selection activeCell="O39" sqref="O39"/>
    </sheetView>
  </sheetViews>
  <sheetFormatPr defaultColWidth="9.1796875" defaultRowHeight="12.5"/>
  <cols>
    <col min="1" max="1" width="14.54296875" style="48" customWidth="1"/>
    <col min="2" max="7" width="8.81640625" style="48" bestFit="1" customWidth="1"/>
    <col min="8" max="8" width="8.81640625" style="48" customWidth="1"/>
    <col min="9" max="9" width="8.81640625" style="48" bestFit="1" customWidth="1"/>
    <col min="10" max="12" width="6.1796875" style="48" customWidth="1"/>
    <col min="13" max="13" width="8.81640625" style="49" bestFit="1" customWidth="1"/>
    <col min="14" max="14" width="13.453125" style="48" customWidth="1"/>
    <col min="15" max="22" width="8.81640625" style="48" customWidth="1"/>
    <col min="23" max="25" width="6" style="48" customWidth="1"/>
    <col min="26" max="26" width="8.81640625" style="48" bestFit="1" customWidth="1"/>
    <col min="27" max="27" width="6.1796875" style="48" customWidth="1"/>
    <col min="28" max="237" width="8.81640625" style="48" bestFit="1" customWidth="1"/>
    <col min="238" max="16384" width="9.1796875" style="48"/>
  </cols>
  <sheetData>
    <row r="1" spans="1:25" ht="17.5">
      <c r="A1" s="50" t="s">
        <v>58</v>
      </c>
      <c r="B1" s="50"/>
      <c r="C1" s="51"/>
      <c r="D1" s="51"/>
      <c r="E1" s="51"/>
      <c r="F1" s="51"/>
      <c r="G1" s="51"/>
      <c r="H1" s="51"/>
      <c r="J1" s="51"/>
      <c r="N1" s="381"/>
      <c r="O1" s="381"/>
      <c r="P1" s="51"/>
      <c r="Q1" s="51"/>
      <c r="R1" s="51"/>
      <c r="S1" s="51"/>
      <c r="T1" s="51"/>
      <c r="U1" s="51"/>
      <c r="W1" s="51"/>
    </row>
    <row r="2" spans="1:25" ht="17.5">
      <c r="A2" s="52"/>
      <c r="B2" s="52"/>
      <c r="C2" s="51"/>
      <c r="D2" s="51"/>
      <c r="E2" s="51"/>
      <c r="F2" s="51"/>
      <c r="G2" s="51"/>
      <c r="H2" s="51"/>
      <c r="J2" s="51"/>
      <c r="N2" s="52"/>
      <c r="O2" s="52"/>
      <c r="P2" s="51"/>
      <c r="Q2" s="51"/>
      <c r="R2" s="51"/>
      <c r="S2" s="51"/>
      <c r="T2" s="51"/>
      <c r="U2" s="51"/>
      <c r="W2" s="51"/>
    </row>
    <row r="3" spans="1:25" ht="17.5">
      <c r="A3" s="52">
        <f>'CONFIRMED PO'!C11</f>
        <v>0</v>
      </c>
      <c r="B3" s="53"/>
      <c r="C3" s="51"/>
      <c r="D3" s="51"/>
      <c r="E3" s="51"/>
      <c r="F3" s="51"/>
      <c r="G3" s="51"/>
      <c r="H3" s="51"/>
      <c r="J3" s="51"/>
      <c r="N3" s="52">
        <f>'CONFIRMED PO'!C11</f>
        <v>0</v>
      </c>
      <c r="O3" s="53"/>
      <c r="P3" s="51"/>
      <c r="Q3" s="51"/>
      <c r="R3" s="51"/>
      <c r="S3" s="51"/>
      <c r="T3" s="51"/>
      <c r="U3" s="51"/>
      <c r="W3" s="51"/>
    </row>
    <row r="4" spans="1:25" ht="13">
      <c r="A4" s="54">
        <f>'CONFIRMED PO'!D11</f>
        <v>0</v>
      </c>
      <c r="B4" s="55">
        <v>35</v>
      </c>
      <c r="C4" s="55">
        <f t="shared" ref="C4:H4" si="0">B4+1</f>
        <v>36</v>
      </c>
      <c r="D4" s="55">
        <f t="shared" si="0"/>
        <v>37</v>
      </c>
      <c r="E4" s="55">
        <f t="shared" si="0"/>
        <v>38</v>
      </c>
      <c r="F4" s="55">
        <f t="shared" si="0"/>
        <v>39</v>
      </c>
      <c r="G4" s="55">
        <f t="shared" si="0"/>
        <v>40</v>
      </c>
      <c r="H4" s="55">
        <f t="shared" si="0"/>
        <v>41</v>
      </c>
      <c r="I4" s="65"/>
      <c r="J4" s="51"/>
      <c r="K4" s="51" t="s">
        <v>59</v>
      </c>
      <c r="L4" s="51" t="s">
        <v>60</v>
      </c>
      <c r="N4" s="54">
        <f>'CONFIRMED PO'!D12</f>
        <v>0</v>
      </c>
      <c r="O4" s="55">
        <f>B4</f>
        <v>35</v>
      </c>
      <c r="P4" s="55">
        <f t="shared" ref="P4:U4" si="1">O4+1</f>
        <v>36</v>
      </c>
      <c r="Q4" s="55">
        <f t="shared" si="1"/>
        <v>37</v>
      </c>
      <c r="R4" s="55">
        <f t="shared" si="1"/>
        <v>38</v>
      </c>
      <c r="S4" s="55">
        <f t="shared" si="1"/>
        <v>39</v>
      </c>
      <c r="T4" s="55">
        <f t="shared" si="1"/>
        <v>40</v>
      </c>
      <c r="U4" s="55">
        <f t="shared" si="1"/>
        <v>41</v>
      </c>
      <c r="V4" s="65"/>
      <c r="W4" s="51"/>
      <c r="X4" s="51" t="s">
        <v>59</v>
      </c>
      <c r="Y4" s="51" t="s">
        <v>60</v>
      </c>
    </row>
    <row r="5" spans="1:25" s="47" customFormat="1">
      <c r="A5" s="56" t="s">
        <v>61</v>
      </c>
      <c r="B5" s="57">
        <v>1</v>
      </c>
      <c r="C5" s="57">
        <v>2</v>
      </c>
      <c r="D5" s="57">
        <v>3</v>
      </c>
      <c r="E5" s="57">
        <v>3</v>
      </c>
      <c r="F5" s="57">
        <v>2</v>
      </c>
      <c r="G5" s="57">
        <v>1</v>
      </c>
      <c r="H5" s="57"/>
      <c r="I5" s="66">
        <f>SUM(B5:H5)</f>
        <v>12</v>
      </c>
      <c r="J5" s="57" t="s">
        <v>62</v>
      </c>
      <c r="K5" s="67">
        <v>2</v>
      </c>
      <c r="L5" s="68">
        <f>I5*K5</f>
        <v>24</v>
      </c>
      <c r="M5" s="69" t="s">
        <v>24</v>
      </c>
      <c r="N5" s="56" t="s">
        <v>61</v>
      </c>
      <c r="O5" s="57">
        <v>1</v>
      </c>
      <c r="P5" s="57">
        <v>2</v>
      </c>
      <c r="Q5" s="57">
        <v>3</v>
      </c>
      <c r="R5" s="57">
        <v>3</v>
      </c>
      <c r="S5" s="57">
        <v>2</v>
      </c>
      <c r="T5" s="57">
        <v>1</v>
      </c>
      <c r="U5" s="57"/>
      <c r="V5" s="66">
        <f>SUM(O5:U5)</f>
        <v>12</v>
      </c>
      <c r="W5" s="57" t="s">
        <v>62</v>
      </c>
      <c r="X5" s="67">
        <v>2</v>
      </c>
      <c r="Y5" s="68">
        <f>V5*X5</f>
        <v>24</v>
      </c>
    </row>
    <row r="6" spans="1:25" s="47" customFormat="1">
      <c r="A6" s="56" t="s">
        <v>63</v>
      </c>
      <c r="B6" s="57">
        <f t="shared" ref="B6:H6" si="2">IFERROR(B5*$K$5,0)</f>
        <v>2</v>
      </c>
      <c r="C6" s="57">
        <f t="shared" si="2"/>
        <v>4</v>
      </c>
      <c r="D6" s="57">
        <f t="shared" si="2"/>
        <v>6</v>
      </c>
      <c r="E6" s="57">
        <f t="shared" si="2"/>
        <v>6</v>
      </c>
      <c r="F6" s="57">
        <f t="shared" si="2"/>
        <v>4</v>
      </c>
      <c r="G6" s="57">
        <f t="shared" si="2"/>
        <v>2</v>
      </c>
      <c r="H6" s="57">
        <f t="shared" si="2"/>
        <v>0</v>
      </c>
      <c r="I6" s="66">
        <f>SUM(B6:H6)</f>
        <v>24</v>
      </c>
      <c r="J6" s="57"/>
      <c r="L6" s="70"/>
      <c r="M6" s="71"/>
      <c r="N6" s="56" t="s">
        <v>63</v>
      </c>
      <c r="O6" s="57">
        <f>O5*$X$5</f>
        <v>2</v>
      </c>
      <c r="P6" s="57">
        <f t="shared" ref="P6:U6" si="3">P5*$X$5</f>
        <v>4</v>
      </c>
      <c r="Q6" s="57">
        <f t="shared" si="3"/>
        <v>6</v>
      </c>
      <c r="R6" s="57">
        <f t="shared" si="3"/>
        <v>6</v>
      </c>
      <c r="S6" s="57">
        <f t="shared" si="3"/>
        <v>4</v>
      </c>
      <c r="T6" s="57">
        <f t="shared" si="3"/>
        <v>2</v>
      </c>
      <c r="U6" s="57">
        <f t="shared" si="3"/>
        <v>0</v>
      </c>
      <c r="V6" s="66">
        <f>SUM(O6:U6)</f>
        <v>24</v>
      </c>
      <c r="W6" s="57"/>
      <c r="Y6" s="70"/>
    </row>
    <row r="7" spans="1:25" s="47" customFormat="1">
      <c r="A7" s="58"/>
      <c r="B7" s="59"/>
      <c r="C7" s="59"/>
      <c r="D7" s="59"/>
      <c r="E7" s="59"/>
      <c r="F7" s="59"/>
      <c r="G7" s="59"/>
      <c r="H7" s="59"/>
      <c r="I7" s="72"/>
      <c r="J7" s="57"/>
      <c r="L7" s="70"/>
      <c r="M7" s="71"/>
      <c r="N7" s="58"/>
      <c r="O7" s="59"/>
      <c r="P7" s="59"/>
      <c r="Q7" s="59"/>
      <c r="R7" s="59"/>
      <c r="S7" s="59"/>
      <c r="T7" s="59"/>
      <c r="U7" s="59"/>
      <c r="V7" s="72"/>
      <c r="W7" s="57"/>
      <c r="Y7" s="70"/>
    </row>
    <row r="8" spans="1:25" s="47" customFormat="1">
      <c r="A8" s="56" t="s">
        <v>64</v>
      </c>
      <c r="B8" s="57">
        <v>1</v>
      </c>
      <c r="C8" s="57">
        <v>1</v>
      </c>
      <c r="D8" s="57">
        <v>3</v>
      </c>
      <c r="E8" s="57">
        <v>3</v>
      </c>
      <c r="F8" s="57">
        <v>2</v>
      </c>
      <c r="G8" s="57">
        <v>2</v>
      </c>
      <c r="H8" s="57"/>
      <c r="I8" s="66">
        <f>SUM(B8:H8)</f>
        <v>12</v>
      </c>
      <c r="J8" s="57" t="s">
        <v>62</v>
      </c>
      <c r="K8" s="67">
        <v>2</v>
      </c>
      <c r="L8" s="68">
        <f>I8*K8</f>
        <v>24</v>
      </c>
      <c r="M8" s="69" t="s">
        <v>25</v>
      </c>
      <c r="N8" s="56" t="s">
        <v>64</v>
      </c>
      <c r="O8" s="57">
        <v>1</v>
      </c>
      <c r="P8" s="57">
        <v>1</v>
      </c>
      <c r="Q8" s="57">
        <v>3</v>
      </c>
      <c r="R8" s="57">
        <v>3</v>
      </c>
      <c r="S8" s="57">
        <v>2</v>
      </c>
      <c r="T8" s="57">
        <v>2</v>
      </c>
      <c r="U8" s="57"/>
      <c r="V8" s="66">
        <f>SUM(O8:U8)</f>
        <v>12</v>
      </c>
      <c r="W8" s="57" t="s">
        <v>62</v>
      </c>
      <c r="X8" s="67">
        <v>2</v>
      </c>
      <c r="Y8" s="68">
        <f>V8*X8</f>
        <v>24</v>
      </c>
    </row>
    <row r="9" spans="1:25" s="47" customFormat="1">
      <c r="A9" s="56" t="s">
        <v>65</v>
      </c>
      <c r="B9" s="57">
        <f>IFERROR(B8*$K$8,0)</f>
        <v>2</v>
      </c>
      <c r="C9" s="57">
        <f t="shared" ref="C9:H9" si="4">IFERROR(C8*$K$8,0)</f>
        <v>2</v>
      </c>
      <c r="D9" s="57">
        <f t="shared" si="4"/>
        <v>6</v>
      </c>
      <c r="E9" s="57">
        <f t="shared" si="4"/>
        <v>6</v>
      </c>
      <c r="F9" s="57">
        <f t="shared" si="4"/>
        <v>4</v>
      </c>
      <c r="G9" s="57">
        <f t="shared" si="4"/>
        <v>4</v>
      </c>
      <c r="H9" s="57">
        <f t="shared" si="4"/>
        <v>0</v>
      </c>
      <c r="I9" s="66">
        <f>SUM(B9:H9)</f>
        <v>24</v>
      </c>
      <c r="J9" s="57"/>
      <c r="L9" s="70"/>
      <c r="M9" s="71"/>
      <c r="N9" s="56" t="s">
        <v>65</v>
      </c>
      <c r="O9" s="57">
        <f>O8*$X$8</f>
        <v>2</v>
      </c>
      <c r="P9" s="57">
        <f t="shared" ref="P9:U9" si="5">P8*$X$8</f>
        <v>2</v>
      </c>
      <c r="Q9" s="57">
        <f t="shared" si="5"/>
        <v>6</v>
      </c>
      <c r="R9" s="57">
        <f t="shared" si="5"/>
        <v>6</v>
      </c>
      <c r="S9" s="57">
        <f t="shared" si="5"/>
        <v>4</v>
      </c>
      <c r="T9" s="57">
        <f t="shared" si="5"/>
        <v>4</v>
      </c>
      <c r="U9" s="57">
        <f t="shared" si="5"/>
        <v>0</v>
      </c>
      <c r="V9" s="66">
        <f>SUM(O9:U9)</f>
        <v>24</v>
      </c>
      <c r="W9" s="57"/>
      <c r="Y9" s="70"/>
    </row>
    <row r="10" spans="1:25" s="47" customFormat="1">
      <c r="A10" s="58"/>
      <c r="B10" s="59"/>
      <c r="C10" s="59"/>
      <c r="D10" s="59"/>
      <c r="E10" s="59"/>
      <c r="F10" s="59"/>
      <c r="G10" s="59"/>
      <c r="H10" s="59"/>
      <c r="I10" s="73"/>
      <c r="J10" s="57"/>
      <c r="L10" s="70"/>
      <c r="M10" s="71"/>
      <c r="N10" s="58"/>
      <c r="O10" s="59"/>
      <c r="P10" s="59"/>
      <c r="Q10" s="59"/>
      <c r="R10" s="59"/>
      <c r="S10" s="59"/>
      <c r="T10" s="59"/>
      <c r="U10" s="59"/>
      <c r="V10" s="73"/>
      <c r="W10" s="57"/>
      <c r="Y10" s="70"/>
    </row>
    <row r="11" spans="1:25" s="47" customFormat="1">
      <c r="A11" s="60" t="s">
        <v>66</v>
      </c>
      <c r="B11" s="57"/>
      <c r="C11" s="57">
        <v>1</v>
      </c>
      <c r="D11" s="57">
        <v>1</v>
      </c>
      <c r="E11" s="57">
        <v>1</v>
      </c>
      <c r="F11" s="57">
        <v>2</v>
      </c>
      <c r="G11" s="57">
        <v>1</v>
      </c>
      <c r="H11" s="57"/>
      <c r="I11" s="66">
        <f>SUM(B11:H11)</f>
        <v>6</v>
      </c>
      <c r="J11" s="57" t="s">
        <v>62</v>
      </c>
      <c r="K11" s="67"/>
      <c r="L11" s="68">
        <f>I11*K11</f>
        <v>0</v>
      </c>
      <c r="M11" s="69" t="s">
        <v>26</v>
      </c>
      <c r="N11" s="60" t="s">
        <v>66</v>
      </c>
      <c r="O11" s="57">
        <v>1</v>
      </c>
      <c r="P11" s="57">
        <v>2</v>
      </c>
      <c r="Q11" s="57">
        <v>3</v>
      </c>
      <c r="R11" s="57">
        <v>3</v>
      </c>
      <c r="S11" s="57">
        <v>2</v>
      </c>
      <c r="T11" s="57">
        <v>1</v>
      </c>
      <c r="U11" s="57"/>
      <c r="V11" s="66">
        <f>SUM(O11:U11)</f>
        <v>12</v>
      </c>
      <c r="W11" s="57" t="s">
        <v>62</v>
      </c>
      <c r="X11" s="67">
        <v>1</v>
      </c>
      <c r="Y11" s="68">
        <f>V11*X11</f>
        <v>12</v>
      </c>
    </row>
    <row r="12" spans="1:25" s="47" customFormat="1">
      <c r="A12" s="56" t="s">
        <v>67</v>
      </c>
      <c r="B12" s="57">
        <f>B11*$K$11</f>
        <v>0</v>
      </c>
      <c r="C12" s="57">
        <f t="shared" ref="C12:H12" si="6">C11*$K$11</f>
        <v>0</v>
      </c>
      <c r="D12" s="57">
        <f t="shared" si="6"/>
        <v>0</v>
      </c>
      <c r="E12" s="57">
        <f t="shared" si="6"/>
        <v>0</v>
      </c>
      <c r="F12" s="57">
        <f t="shared" si="6"/>
        <v>0</v>
      </c>
      <c r="G12" s="57">
        <f t="shared" si="6"/>
        <v>0</v>
      </c>
      <c r="H12" s="57">
        <f t="shared" si="6"/>
        <v>0</v>
      </c>
      <c r="I12" s="66">
        <f>SUM(B12:H12)</f>
        <v>0</v>
      </c>
      <c r="J12" s="57"/>
      <c r="L12" s="70"/>
      <c r="M12" s="71"/>
      <c r="N12" s="56" t="s">
        <v>67</v>
      </c>
      <c r="O12" s="57">
        <f>O11*$X$11</f>
        <v>1</v>
      </c>
      <c r="P12" s="57">
        <f t="shared" ref="P12:U12" si="7">P11*$X$11</f>
        <v>2</v>
      </c>
      <c r="Q12" s="57">
        <f t="shared" si="7"/>
        <v>3</v>
      </c>
      <c r="R12" s="57">
        <f t="shared" si="7"/>
        <v>3</v>
      </c>
      <c r="S12" s="57">
        <f t="shared" si="7"/>
        <v>2</v>
      </c>
      <c r="T12" s="57">
        <f t="shared" si="7"/>
        <v>1</v>
      </c>
      <c r="U12" s="57">
        <f t="shared" si="7"/>
        <v>0</v>
      </c>
      <c r="V12" s="66">
        <f>SUM(O12:U12)</f>
        <v>12</v>
      </c>
      <c r="W12" s="57"/>
      <c r="Y12" s="70"/>
    </row>
    <row r="13" spans="1:25" s="47" customFormat="1">
      <c r="A13" s="58"/>
      <c r="B13" s="59"/>
      <c r="C13" s="59"/>
      <c r="D13" s="59"/>
      <c r="E13" s="59"/>
      <c r="F13" s="59"/>
      <c r="G13" s="59"/>
      <c r="H13" s="59"/>
      <c r="I13" s="72"/>
      <c r="J13" s="57"/>
      <c r="L13" s="70"/>
      <c r="M13" s="71"/>
      <c r="N13" s="58"/>
      <c r="O13" s="59"/>
      <c r="P13" s="59"/>
      <c r="Q13" s="59"/>
      <c r="R13" s="59"/>
      <c r="S13" s="59"/>
      <c r="T13" s="59"/>
      <c r="U13" s="59"/>
      <c r="V13" s="72"/>
      <c r="W13" s="57"/>
      <c r="Y13" s="70"/>
    </row>
    <row r="14" spans="1:25" s="47" customFormat="1">
      <c r="A14" s="56" t="s">
        <v>68</v>
      </c>
      <c r="B14" s="57">
        <v>1</v>
      </c>
      <c r="C14" s="57">
        <v>1</v>
      </c>
      <c r="D14" s="57">
        <v>3</v>
      </c>
      <c r="E14" s="57">
        <v>3</v>
      </c>
      <c r="F14" s="57">
        <v>3</v>
      </c>
      <c r="G14" s="57">
        <v>1</v>
      </c>
      <c r="H14" s="57"/>
      <c r="I14" s="66">
        <f>SUM(B14:H14)</f>
        <v>12</v>
      </c>
      <c r="J14" s="57" t="s">
        <v>62</v>
      </c>
      <c r="K14" s="67">
        <v>1</v>
      </c>
      <c r="L14" s="68">
        <f>I14*K14</f>
        <v>12</v>
      </c>
      <c r="M14" s="69" t="s">
        <v>27</v>
      </c>
      <c r="N14" s="56" t="s">
        <v>68</v>
      </c>
      <c r="O14" s="57"/>
      <c r="P14" s="57"/>
      <c r="Q14" s="57"/>
      <c r="R14" s="57"/>
      <c r="S14" s="57"/>
      <c r="T14" s="57"/>
      <c r="U14" s="57"/>
      <c r="V14" s="66">
        <f>SUM(O14:U14)</f>
        <v>0</v>
      </c>
      <c r="W14" s="57" t="s">
        <v>62</v>
      </c>
      <c r="X14" s="67"/>
      <c r="Y14" s="68">
        <f>V14*X14</f>
        <v>0</v>
      </c>
    </row>
    <row r="15" spans="1:25" s="47" customFormat="1">
      <c r="A15" s="56" t="s">
        <v>69</v>
      </c>
      <c r="B15" s="57">
        <f>B14*$K$14</f>
        <v>1</v>
      </c>
      <c r="C15" s="57">
        <f t="shared" ref="C15:H15" si="8">C14*$K$14</f>
        <v>1</v>
      </c>
      <c r="D15" s="57">
        <f t="shared" si="8"/>
        <v>3</v>
      </c>
      <c r="E15" s="57">
        <f t="shared" si="8"/>
        <v>3</v>
      </c>
      <c r="F15" s="57">
        <f t="shared" si="8"/>
        <v>3</v>
      </c>
      <c r="G15" s="57">
        <f t="shared" si="8"/>
        <v>1</v>
      </c>
      <c r="H15" s="57">
        <f t="shared" si="8"/>
        <v>0</v>
      </c>
      <c r="I15" s="66">
        <f>SUM(B15:H15)</f>
        <v>12</v>
      </c>
      <c r="J15" s="57"/>
      <c r="L15" s="70"/>
      <c r="M15" s="71"/>
      <c r="N15" s="56" t="s">
        <v>69</v>
      </c>
      <c r="O15" s="57">
        <f>O14*$X$14</f>
        <v>0</v>
      </c>
      <c r="P15" s="57">
        <f t="shared" ref="P15:U15" si="9">P14*$X$14</f>
        <v>0</v>
      </c>
      <c r="Q15" s="57">
        <f t="shared" si="9"/>
        <v>0</v>
      </c>
      <c r="R15" s="57">
        <f t="shared" si="9"/>
        <v>0</v>
      </c>
      <c r="S15" s="57">
        <f t="shared" si="9"/>
        <v>0</v>
      </c>
      <c r="T15" s="57">
        <f t="shared" si="9"/>
        <v>0</v>
      </c>
      <c r="U15" s="57">
        <f t="shared" si="9"/>
        <v>0</v>
      </c>
      <c r="V15" s="66">
        <f>SUM(O15:U15)</f>
        <v>0</v>
      </c>
      <c r="W15" s="57"/>
      <c r="Y15" s="70"/>
    </row>
    <row r="16" spans="1:25" s="47" customFormat="1">
      <c r="A16" s="58"/>
      <c r="B16" s="59"/>
      <c r="C16" s="59"/>
      <c r="D16" s="59"/>
      <c r="E16" s="59"/>
      <c r="F16" s="59"/>
      <c r="G16" s="59"/>
      <c r="H16" s="59"/>
      <c r="I16" s="72"/>
      <c r="J16" s="57"/>
      <c r="L16" s="70"/>
      <c r="M16" s="71"/>
      <c r="N16" s="58"/>
      <c r="O16" s="59"/>
      <c r="P16" s="59"/>
      <c r="Q16" s="59"/>
      <c r="R16" s="59"/>
      <c r="S16" s="59"/>
      <c r="T16" s="59"/>
      <c r="U16" s="59"/>
      <c r="V16" s="72"/>
      <c r="W16" s="57"/>
      <c r="Y16" s="70"/>
    </row>
    <row r="17" spans="1:25" s="47" customFormat="1">
      <c r="A17" s="56" t="s">
        <v>70</v>
      </c>
      <c r="B17" s="57">
        <v>1</v>
      </c>
      <c r="C17" s="57">
        <v>1</v>
      </c>
      <c r="D17" s="57">
        <v>1</v>
      </c>
      <c r="E17" s="57">
        <v>1</v>
      </c>
      <c r="F17" s="57">
        <v>1</v>
      </c>
      <c r="G17" s="57">
        <v>1</v>
      </c>
      <c r="H17" s="57"/>
      <c r="I17" s="66">
        <f>SUM(B17:H17)</f>
        <v>6</v>
      </c>
      <c r="J17" s="57" t="s">
        <v>62</v>
      </c>
      <c r="K17" s="67">
        <v>1</v>
      </c>
      <c r="L17" s="68">
        <f>I17*K17</f>
        <v>6</v>
      </c>
      <c r="M17" s="69" t="s">
        <v>28</v>
      </c>
      <c r="N17" s="56" t="s">
        <v>70</v>
      </c>
      <c r="O17" s="57"/>
      <c r="P17" s="57"/>
      <c r="Q17" s="57"/>
      <c r="R17" s="57"/>
      <c r="S17" s="57"/>
      <c r="T17" s="57"/>
      <c r="U17" s="57"/>
      <c r="V17" s="66">
        <f>SUM(O17:U17)</f>
        <v>0</v>
      </c>
      <c r="W17" s="57" t="s">
        <v>62</v>
      </c>
      <c r="X17" s="67"/>
      <c r="Y17" s="68">
        <f>V17*X17</f>
        <v>0</v>
      </c>
    </row>
    <row r="18" spans="1:25" s="47" customFormat="1">
      <c r="A18" s="56" t="s">
        <v>71</v>
      </c>
      <c r="B18" s="57">
        <f>B17*$K$17</f>
        <v>1</v>
      </c>
      <c r="C18" s="57">
        <f t="shared" ref="C18:H18" si="10">C17*$K$17</f>
        <v>1</v>
      </c>
      <c r="D18" s="57">
        <f t="shared" si="10"/>
        <v>1</v>
      </c>
      <c r="E18" s="57">
        <f t="shared" si="10"/>
        <v>1</v>
      </c>
      <c r="F18" s="57">
        <f t="shared" si="10"/>
        <v>1</v>
      </c>
      <c r="G18" s="57">
        <f t="shared" si="10"/>
        <v>1</v>
      </c>
      <c r="H18" s="57">
        <f t="shared" si="10"/>
        <v>0</v>
      </c>
      <c r="I18" s="66">
        <f>SUM(B18:H18)</f>
        <v>6</v>
      </c>
      <c r="J18" s="57"/>
      <c r="L18" s="70"/>
      <c r="M18" s="71"/>
      <c r="N18" s="56" t="s">
        <v>71</v>
      </c>
      <c r="O18" s="57">
        <f>O17*$X$17</f>
        <v>0</v>
      </c>
      <c r="P18" s="57">
        <f t="shared" ref="P18:U18" si="11">P17*$X$17</f>
        <v>0</v>
      </c>
      <c r="Q18" s="57">
        <f t="shared" si="11"/>
        <v>0</v>
      </c>
      <c r="R18" s="57">
        <f t="shared" si="11"/>
        <v>0</v>
      </c>
      <c r="S18" s="57">
        <f t="shared" si="11"/>
        <v>0</v>
      </c>
      <c r="T18" s="57">
        <f t="shared" si="11"/>
        <v>0</v>
      </c>
      <c r="U18" s="57">
        <f t="shared" si="11"/>
        <v>0</v>
      </c>
      <c r="V18" s="66">
        <f>SUM(O18:U18)</f>
        <v>0</v>
      </c>
      <c r="W18" s="57"/>
      <c r="Y18" s="70"/>
    </row>
    <row r="19" spans="1:25" s="47" customFormat="1">
      <c r="A19" s="58"/>
      <c r="B19" s="61"/>
      <c r="C19" s="61"/>
      <c r="D19" s="61"/>
      <c r="E19" s="61"/>
      <c r="F19" s="61"/>
      <c r="G19" s="61"/>
      <c r="H19" s="61"/>
      <c r="I19" s="72"/>
      <c r="J19" s="57"/>
      <c r="L19" s="70"/>
      <c r="M19" s="71"/>
      <c r="N19" s="58"/>
      <c r="O19" s="61"/>
      <c r="P19" s="61"/>
      <c r="Q19" s="61"/>
      <c r="R19" s="61"/>
      <c r="S19" s="61"/>
      <c r="T19" s="61"/>
      <c r="U19" s="61"/>
      <c r="V19" s="72"/>
      <c r="W19" s="57"/>
      <c r="Y19" s="70"/>
    </row>
    <row r="20" spans="1:25" s="47" customFormat="1">
      <c r="A20" s="56" t="s">
        <v>72</v>
      </c>
      <c r="B20" s="57"/>
      <c r="C20" s="57">
        <v>1</v>
      </c>
      <c r="D20" s="57">
        <v>1</v>
      </c>
      <c r="E20" s="57">
        <v>1</v>
      </c>
      <c r="F20" s="57">
        <v>2</v>
      </c>
      <c r="G20" s="57">
        <v>1</v>
      </c>
      <c r="H20" s="57"/>
      <c r="I20" s="66">
        <f>SUM(B20:H20)</f>
        <v>6</v>
      </c>
      <c r="J20" s="57" t="s">
        <v>62</v>
      </c>
      <c r="K20" s="67">
        <v>2</v>
      </c>
      <c r="L20" s="68">
        <f>I20*K20</f>
        <v>12</v>
      </c>
      <c r="M20" s="69" t="s">
        <v>29</v>
      </c>
      <c r="N20" s="56" t="s">
        <v>72</v>
      </c>
      <c r="O20" s="57"/>
      <c r="P20" s="57"/>
      <c r="Q20" s="57"/>
      <c r="R20" s="57"/>
      <c r="S20" s="57"/>
      <c r="T20" s="57"/>
      <c r="U20" s="57"/>
      <c r="V20" s="66">
        <f>SUM(O20:U20)</f>
        <v>0</v>
      </c>
      <c r="W20" s="57" t="s">
        <v>62</v>
      </c>
      <c r="X20" s="67"/>
      <c r="Y20" s="68">
        <f>V20*X20</f>
        <v>0</v>
      </c>
    </row>
    <row r="21" spans="1:25" s="47" customFormat="1">
      <c r="A21" s="56" t="s">
        <v>73</v>
      </c>
      <c r="B21" s="57"/>
      <c r="C21" s="57">
        <f t="shared" ref="C21:H21" si="12">C20*$K$20</f>
        <v>2</v>
      </c>
      <c r="D21" s="57">
        <f t="shared" si="12"/>
        <v>2</v>
      </c>
      <c r="E21" s="57">
        <f t="shared" si="12"/>
        <v>2</v>
      </c>
      <c r="F21" s="57">
        <f t="shared" si="12"/>
        <v>4</v>
      </c>
      <c r="G21" s="57">
        <f t="shared" si="12"/>
        <v>2</v>
      </c>
      <c r="H21" s="57">
        <f t="shared" si="12"/>
        <v>0</v>
      </c>
      <c r="I21" s="66">
        <f>SUM(B21:H21)</f>
        <v>12</v>
      </c>
      <c r="J21" s="57"/>
      <c r="L21" s="70"/>
      <c r="M21" s="71"/>
      <c r="N21" s="56" t="s">
        <v>73</v>
      </c>
      <c r="O21" s="57"/>
      <c r="P21" s="57">
        <f t="shared" ref="P21:U21" si="13">P20*$X$20</f>
        <v>0</v>
      </c>
      <c r="Q21" s="57">
        <f t="shared" si="13"/>
        <v>0</v>
      </c>
      <c r="R21" s="57">
        <f t="shared" si="13"/>
        <v>0</v>
      </c>
      <c r="S21" s="57">
        <f t="shared" si="13"/>
        <v>0</v>
      </c>
      <c r="T21" s="57">
        <f t="shared" si="13"/>
        <v>0</v>
      </c>
      <c r="U21" s="57">
        <f t="shared" si="13"/>
        <v>0</v>
      </c>
      <c r="V21" s="66">
        <f>SUM(O21:U21)</f>
        <v>0</v>
      </c>
      <c r="W21" s="57"/>
      <c r="Y21" s="70"/>
    </row>
    <row r="22" spans="1:25" s="47" customFormat="1">
      <c r="A22" s="58"/>
      <c r="B22" s="61"/>
      <c r="C22" s="61"/>
      <c r="D22" s="61"/>
      <c r="E22" s="61"/>
      <c r="F22" s="61"/>
      <c r="G22" s="61"/>
      <c r="H22" s="61"/>
      <c r="I22" s="72"/>
      <c r="J22" s="57"/>
      <c r="L22" s="70"/>
      <c r="M22" s="71"/>
      <c r="N22" s="58"/>
      <c r="O22" s="61"/>
      <c r="P22" s="61"/>
      <c r="Q22" s="61"/>
      <c r="R22" s="61"/>
      <c r="S22" s="61"/>
      <c r="T22" s="61"/>
      <c r="U22" s="61"/>
      <c r="V22" s="72"/>
      <c r="W22" s="57"/>
      <c r="Y22" s="70"/>
    </row>
    <row r="23" spans="1:25" s="47" customFormat="1">
      <c r="A23" s="56" t="s">
        <v>74</v>
      </c>
      <c r="B23" s="57"/>
      <c r="C23" s="57"/>
      <c r="D23" s="57"/>
      <c r="E23" s="57"/>
      <c r="F23" s="57"/>
      <c r="G23" s="57"/>
      <c r="H23" s="57"/>
      <c r="I23" s="66">
        <f>SUM(B23:H23)</f>
        <v>0</v>
      </c>
      <c r="J23" s="57" t="s">
        <v>62</v>
      </c>
      <c r="K23" s="67"/>
      <c r="L23" s="68">
        <f>I23*K23</f>
        <v>0</v>
      </c>
      <c r="M23" s="69" t="s">
        <v>30</v>
      </c>
      <c r="N23" s="56" t="s">
        <v>74</v>
      </c>
      <c r="O23" s="57"/>
      <c r="P23" s="57"/>
      <c r="Q23" s="57"/>
      <c r="R23" s="57"/>
      <c r="S23" s="57"/>
      <c r="T23" s="57"/>
      <c r="U23" s="57"/>
      <c r="V23" s="66">
        <f>SUM(O23:U23)</f>
        <v>0</v>
      </c>
      <c r="W23" s="57" t="s">
        <v>62</v>
      </c>
      <c r="X23" s="67"/>
      <c r="Y23" s="68">
        <f>V23*X23</f>
        <v>0</v>
      </c>
    </row>
    <row r="24" spans="1:25" s="47" customFormat="1">
      <c r="A24" s="56" t="s">
        <v>75</v>
      </c>
      <c r="B24" s="57">
        <f>B23*$K$23</f>
        <v>0</v>
      </c>
      <c r="C24" s="57">
        <f t="shared" ref="C24:H24" si="14">C23*$K$23</f>
        <v>0</v>
      </c>
      <c r="D24" s="57">
        <f t="shared" si="14"/>
        <v>0</v>
      </c>
      <c r="E24" s="57">
        <f t="shared" si="14"/>
        <v>0</v>
      </c>
      <c r="F24" s="57">
        <f t="shared" si="14"/>
        <v>0</v>
      </c>
      <c r="G24" s="57">
        <f t="shared" si="14"/>
        <v>0</v>
      </c>
      <c r="H24" s="57">
        <f t="shared" si="14"/>
        <v>0</v>
      </c>
      <c r="I24" s="66">
        <f>SUM(B24:H24)</f>
        <v>0</v>
      </c>
      <c r="J24" s="57"/>
      <c r="L24" s="70"/>
      <c r="M24" s="71"/>
      <c r="N24" s="56" t="s">
        <v>75</v>
      </c>
      <c r="O24" s="57">
        <f>O23*$X$23</f>
        <v>0</v>
      </c>
      <c r="P24" s="57">
        <f t="shared" ref="P24:U24" si="15">P23*$X$23</f>
        <v>0</v>
      </c>
      <c r="Q24" s="57">
        <f t="shared" si="15"/>
        <v>0</v>
      </c>
      <c r="R24" s="57">
        <f t="shared" si="15"/>
        <v>0</v>
      </c>
      <c r="S24" s="57">
        <f t="shared" si="15"/>
        <v>0</v>
      </c>
      <c r="T24" s="57">
        <f t="shared" si="15"/>
        <v>0</v>
      </c>
      <c r="U24" s="57">
        <f t="shared" si="15"/>
        <v>0</v>
      </c>
      <c r="V24" s="66">
        <f>SUM(O24:U24)</f>
        <v>0</v>
      </c>
      <c r="W24" s="57"/>
      <c r="Y24" s="70"/>
    </row>
    <row r="25" spans="1:25" s="47" customFormat="1">
      <c r="A25" s="58"/>
      <c r="B25" s="61"/>
      <c r="C25" s="61"/>
      <c r="D25" s="61"/>
      <c r="E25" s="61"/>
      <c r="F25" s="61"/>
      <c r="G25" s="61"/>
      <c r="H25" s="61"/>
      <c r="I25" s="72"/>
      <c r="J25" s="57"/>
      <c r="L25" s="70"/>
      <c r="M25" s="71"/>
      <c r="N25" s="58"/>
      <c r="O25" s="61"/>
      <c r="P25" s="61"/>
      <c r="Q25" s="61"/>
      <c r="R25" s="61"/>
      <c r="S25" s="61"/>
      <c r="T25" s="61"/>
      <c r="U25" s="61"/>
      <c r="V25" s="72"/>
      <c r="W25" s="57"/>
      <c r="Y25" s="70"/>
    </row>
    <row r="26" spans="1:25" s="47" customFormat="1">
      <c r="A26" s="56" t="s">
        <v>76</v>
      </c>
      <c r="B26" s="57"/>
      <c r="C26" s="57"/>
      <c r="D26" s="57"/>
      <c r="E26" s="57"/>
      <c r="F26" s="57"/>
      <c r="G26" s="57"/>
      <c r="H26" s="57"/>
      <c r="I26" s="66">
        <f>SUM(B26:H26)</f>
        <v>0</v>
      </c>
      <c r="J26" s="57" t="s">
        <v>62</v>
      </c>
      <c r="K26" s="67"/>
      <c r="L26" s="68">
        <f>I26*K26</f>
        <v>0</v>
      </c>
      <c r="M26" s="69" t="s">
        <v>31</v>
      </c>
      <c r="N26" s="56" t="s">
        <v>76</v>
      </c>
      <c r="O26" s="57"/>
      <c r="P26" s="57"/>
      <c r="Q26" s="57"/>
      <c r="R26" s="57"/>
      <c r="S26" s="57"/>
      <c r="T26" s="57"/>
      <c r="U26" s="57"/>
      <c r="V26" s="66">
        <f>SUM(O26:U26)</f>
        <v>0</v>
      </c>
      <c r="W26" s="57" t="s">
        <v>62</v>
      </c>
      <c r="X26" s="67"/>
      <c r="Y26" s="68">
        <f>V26*X26</f>
        <v>0</v>
      </c>
    </row>
    <row r="27" spans="1:25" s="47" customFormat="1">
      <c r="A27" s="56" t="s">
        <v>77</v>
      </c>
      <c r="B27" s="57">
        <f t="shared" ref="B27:H27" si="16">B26*$K$26</f>
        <v>0</v>
      </c>
      <c r="C27" s="57">
        <f t="shared" si="16"/>
        <v>0</v>
      </c>
      <c r="D27" s="57">
        <f t="shared" si="16"/>
        <v>0</v>
      </c>
      <c r="E27" s="57">
        <f t="shared" si="16"/>
        <v>0</v>
      </c>
      <c r="F27" s="57">
        <f t="shared" si="16"/>
        <v>0</v>
      </c>
      <c r="G27" s="57">
        <f t="shared" si="16"/>
        <v>0</v>
      </c>
      <c r="H27" s="57">
        <f t="shared" si="16"/>
        <v>0</v>
      </c>
      <c r="I27" s="66">
        <f>SUM(B27:H27)</f>
        <v>0</v>
      </c>
      <c r="J27" s="57"/>
      <c r="L27" s="70"/>
      <c r="M27" s="71"/>
      <c r="N27" s="56" t="s">
        <v>77</v>
      </c>
      <c r="O27" s="57">
        <f>#N/A</f>
        <v>0</v>
      </c>
      <c r="P27" s="57">
        <f>#N/A</f>
        <v>0</v>
      </c>
      <c r="Q27" s="57">
        <f>#N/A</f>
        <v>0</v>
      </c>
      <c r="R27" s="57">
        <f>#N/A</f>
        <v>0</v>
      </c>
      <c r="S27" s="57">
        <f>#N/A</f>
        <v>0</v>
      </c>
      <c r="T27" s="57"/>
      <c r="U27" s="57"/>
      <c r="V27" s="66">
        <f>SUM(O27:U27)</f>
        <v>0</v>
      </c>
      <c r="W27" s="57"/>
      <c r="Y27" s="70"/>
    </row>
    <row r="28" spans="1:25" s="47" customFormat="1">
      <c r="A28" s="58"/>
      <c r="B28" s="61"/>
      <c r="C28" s="61"/>
      <c r="D28" s="61"/>
      <c r="E28" s="61"/>
      <c r="F28" s="61"/>
      <c r="G28" s="61"/>
      <c r="H28" s="61"/>
      <c r="I28" s="72"/>
      <c r="J28" s="57"/>
      <c r="L28" s="70"/>
      <c r="M28" s="71"/>
      <c r="N28" s="58"/>
      <c r="O28" s="61"/>
      <c r="P28" s="61"/>
      <c r="Q28" s="61"/>
      <c r="R28" s="61"/>
      <c r="S28" s="61"/>
      <c r="T28" s="61"/>
      <c r="U28" s="61"/>
      <c r="V28" s="72"/>
      <c r="W28" s="57"/>
      <c r="Y28" s="70"/>
    </row>
    <row r="29" spans="1:25" s="47" customFormat="1" ht="12.75" customHeight="1">
      <c r="A29" s="382" t="s">
        <v>78</v>
      </c>
      <c r="B29" s="62">
        <f t="shared" ref="B29:I29" si="17">SUM(B24,B21,B18,B15,B12,B9,B6,B27)</f>
        <v>6</v>
      </c>
      <c r="C29" s="62">
        <f t="shared" si="17"/>
        <v>10</v>
      </c>
      <c r="D29" s="62">
        <f t="shared" si="17"/>
        <v>18</v>
      </c>
      <c r="E29" s="62">
        <f t="shared" si="17"/>
        <v>18</v>
      </c>
      <c r="F29" s="62">
        <f t="shared" si="17"/>
        <v>16</v>
      </c>
      <c r="G29" s="62">
        <f t="shared" si="17"/>
        <v>10</v>
      </c>
      <c r="H29" s="62">
        <f t="shared" si="17"/>
        <v>0</v>
      </c>
      <c r="I29" s="62">
        <f t="shared" si="17"/>
        <v>78</v>
      </c>
      <c r="J29" s="57"/>
      <c r="L29" s="70"/>
      <c r="M29" s="71"/>
      <c r="N29" s="382" t="s">
        <v>78</v>
      </c>
      <c r="O29" s="62">
        <f t="shared" ref="O29:V29" si="18">SUM(O24,O21,O18,O15,O12,O9,O6,O27)</f>
        <v>5</v>
      </c>
      <c r="P29" s="62">
        <f t="shared" si="18"/>
        <v>8</v>
      </c>
      <c r="Q29" s="62">
        <f t="shared" si="18"/>
        <v>15</v>
      </c>
      <c r="R29" s="62">
        <f t="shared" si="18"/>
        <v>15</v>
      </c>
      <c r="S29" s="62">
        <f t="shared" si="18"/>
        <v>10</v>
      </c>
      <c r="T29" s="62">
        <f t="shared" si="18"/>
        <v>7</v>
      </c>
      <c r="U29" s="62">
        <f t="shared" si="18"/>
        <v>0</v>
      </c>
      <c r="V29" s="62">
        <f t="shared" si="18"/>
        <v>60</v>
      </c>
      <c r="W29" s="57"/>
      <c r="Y29" s="70"/>
    </row>
    <row r="30" spans="1:25" ht="13">
      <c r="A30" s="383"/>
      <c r="B30" s="51"/>
      <c r="C30" s="51"/>
      <c r="D30" s="51"/>
      <c r="E30" s="51"/>
      <c r="F30" s="51"/>
      <c r="G30" s="51"/>
      <c r="H30" s="51"/>
      <c r="J30" s="51"/>
      <c r="K30" s="63">
        <f>SUM(K5:K28)</f>
        <v>8</v>
      </c>
      <c r="L30" s="74">
        <f>SUM(L5:L28)</f>
        <v>78</v>
      </c>
      <c r="N30" s="383"/>
      <c r="O30" s="51"/>
      <c r="P30" s="51"/>
      <c r="Q30" s="51"/>
      <c r="R30" s="51"/>
      <c r="S30" s="51"/>
      <c r="T30" s="51"/>
      <c r="U30" s="51"/>
      <c r="W30" s="51"/>
      <c r="X30" s="63">
        <f>SUM(X5:X28)</f>
        <v>5</v>
      </c>
      <c r="Y30" s="82">
        <f>SUM(Y5:Y28)</f>
        <v>60</v>
      </c>
    </row>
    <row r="31" spans="1:25">
      <c r="B31" s="63">
        <f t="shared" ref="B31:G31" si="19">B23+B17</f>
        <v>1</v>
      </c>
      <c r="C31" s="63">
        <f t="shared" si="19"/>
        <v>1</v>
      </c>
      <c r="D31" s="63">
        <f t="shared" si="19"/>
        <v>1</v>
      </c>
      <c r="E31" s="63">
        <f t="shared" si="19"/>
        <v>1</v>
      </c>
      <c r="F31" s="63">
        <f t="shared" si="19"/>
        <v>1</v>
      </c>
      <c r="G31" s="63">
        <f t="shared" si="19"/>
        <v>1</v>
      </c>
      <c r="H31" s="63"/>
    </row>
    <row r="34" spans="1:13" ht="17.5">
      <c r="A34" s="52">
        <f>'CONFIRMED PO'!C11</f>
        <v>0</v>
      </c>
      <c r="B34" s="53"/>
      <c r="C34" s="51"/>
      <c r="D34" s="51"/>
      <c r="E34" s="51"/>
      <c r="F34" s="51"/>
      <c r="G34" s="51"/>
      <c r="H34" s="51"/>
      <c r="J34" s="51"/>
    </row>
    <row r="35" spans="1:13" ht="13">
      <c r="A35" s="64">
        <f>'CONFIRMED PO'!D13</f>
        <v>0</v>
      </c>
      <c r="B35" s="55">
        <f>B4</f>
        <v>35</v>
      </c>
      <c r="C35" s="55">
        <f t="shared" ref="C35:H35" si="20">B35+1</f>
        <v>36</v>
      </c>
      <c r="D35" s="55">
        <f t="shared" si="20"/>
        <v>37</v>
      </c>
      <c r="E35" s="55">
        <f t="shared" si="20"/>
        <v>38</v>
      </c>
      <c r="F35" s="55">
        <f t="shared" si="20"/>
        <v>39</v>
      </c>
      <c r="G35" s="55">
        <f t="shared" si="20"/>
        <v>40</v>
      </c>
      <c r="H35" s="55">
        <f t="shared" si="20"/>
        <v>41</v>
      </c>
      <c r="I35" s="65"/>
      <c r="J35" s="51"/>
      <c r="K35" s="51" t="s">
        <v>59</v>
      </c>
      <c r="L35" s="51" t="s">
        <v>60</v>
      </c>
    </row>
    <row r="36" spans="1:13" s="47" customFormat="1">
      <c r="A36" s="56" t="s">
        <v>61</v>
      </c>
      <c r="B36" s="57">
        <v>1</v>
      </c>
      <c r="C36" s="57">
        <v>1</v>
      </c>
      <c r="D36" s="57">
        <v>1</v>
      </c>
      <c r="E36" s="57">
        <v>1</v>
      </c>
      <c r="F36" s="57">
        <v>1</v>
      </c>
      <c r="G36" s="57">
        <v>1</v>
      </c>
      <c r="H36" s="57"/>
      <c r="I36" s="66">
        <f>SUM(B36:G36)</f>
        <v>6</v>
      </c>
      <c r="J36" s="57" t="s">
        <v>62</v>
      </c>
      <c r="K36" s="67"/>
      <c r="L36" s="68">
        <f>I36*K36</f>
        <v>0</v>
      </c>
      <c r="M36" s="69" t="s">
        <v>24</v>
      </c>
    </row>
    <row r="37" spans="1:13" s="47" customFormat="1">
      <c r="A37" s="56" t="s">
        <v>63</v>
      </c>
      <c r="B37" s="57">
        <f>B36*$K$36</f>
        <v>0</v>
      </c>
      <c r="C37" s="57">
        <f>#N/A</f>
        <v>0</v>
      </c>
      <c r="D37" s="57">
        <f>#N/A</f>
        <v>0</v>
      </c>
      <c r="E37" s="57">
        <f>#N/A</f>
        <v>0</v>
      </c>
      <c r="F37" s="57">
        <f>#N/A</f>
        <v>0</v>
      </c>
      <c r="G37" s="57">
        <f>#N/A</f>
        <v>0</v>
      </c>
      <c r="H37" s="57"/>
      <c r="I37" s="66">
        <f>SUM(B37:G37)</f>
        <v>0</v>
      </c>
      <c r="J37" s="57"/>
      <c r="L37" s="70"/>
      <c r="M37" s="71"/>
    </row>
    <row r="38" spans="1:13" s="47" customFormat="1">
      <c r="A38" s="58"/>
      <c r="B38" s="59"/>
      <c r="C38" s="59"/>
      <c r="D38" s="59"/>
      <c r="E38" s="59"/>
      <c r="F38" s="59"/>
      <c r="G38" s="59"/>
      <c r="H38" s="59"/>
      <c r="I38" s="72"/>
      <c r="J38" s="57"/>
      <c r="L38" s="70"/>
      <c r="M38" s="71"/>
    </row>
    <row r="39" spans="1:13" s="47" customFormat="1">
      <c r="A39" s="56" t="s">
        <v>64</v>
      </c>
      <c r="B39" s="57"/>
      <c r="C39" s="57"/>
      <c r="D39" s="57"/>
      <c r="E39" s="57"/>
      <c r="F39" s="57"/>
      <c r="G39" s="57"/>
      <c r="H39" s="57"/>
      <c r="I39" s="66">
        <f>SUM(B39:G39)</f>
        <v>0</v>
      </c>
      <c r="J39" s="57" t="s">
        <v>62</v>
      </c>
      <c r="K39" s="67"/>
      <c r="L39" s="68">
        <f>I39*K39</f>
        <v>0</v>
      </c>
      <c r="M39" s="69" t="s">
        <v>25</v>
      </c>
    </row>
    <row r="40" spans="1:13" s="47" customFormat="1">
      <c r="A40" s="56" t="s">
        <v>65</v>
      </c>
      <c r="B40" s="57">
        <f>B39*$K$39</f>
        <v>0</v>
      </c>
      <c r="C40" s="57">
        <f>#N/A</f>
        <v>0</v>
      </c>
      <c r="D40" s="57">
        <f>#N/A</f>
        <v>0</v>
      </c>
      <c r="E40" s="57">
        <f>#N/A</f>
        <v>0</v>
      </c>
      <c r="F40" s="57">
        <f>#N/A</f>
        <v>0</v>
      </c>
      <c r="G40" s="57">
        <f>#N/A</f>
        <v>0</v>
      </c>
      <c r="H40" s="57"/>
      <c r="I40" s="66">
        <f>SUM(B40:G40)</f>
        <v>0</v>
      </c>
      <c r="J40" s="57"/>
      <c r="L40" s="70"/>
      <c r="M40" s="71"/>
    </row>
    <row r="41" spans="1:13" s="47" customFormat="1">
      <c r="A41" s="58"/>
      <c r="B41" s="59"/>
      <c r="C41" s="59"/>
      <c r="D41" s="59"/>
      <c r="E41" s="59"/>
      <c r="F41" s="59"/>
      <c r="G41" s="59"/>
      <c r="H41" s="59"/>
      <c r="I41" s="73"/>
      <c r="J41" s="57"/>
      <c r="L41" s="70"/>
      <c r="M41" s="71"/>
    </row>
    <row r="42" spans="1:13" s="47" customFormat="1">
      <c r="A42" s="60" t="s">
        <v>66</v>
      </c>
      <c r="B42" s="57"/>
      <c r="C42" s="57"/>
      <c r="D42" s="57"/>
      <c r="E42" s="57"/>
      <c r="F42" s="57"/>
      <c r="G42" s="57"/>
      <c r="H42" s="57"/>
      <c r="I42" s="66">
        <f>SUM(B42:G42)</f>
        <v>0</v>
      </c>
      <c r="J42" s="57" t="s">
        <v>62</v>
      </c>
      <c r="K42" s="67"/>
      <c r="L42" s="68">
        <f>I42*K42</f>
        <v>0</v>
      </c>
      <c r="M42" s="69" t="s">
        <v>26</v>
      </c>
    </row>
    <row r="43" spans="1:13" s="47" customFormat="1">
      <c r="A43" s="56" t="s">
        <v>67</v>
      </c>
      <c r="B43" s="57">
        <f>B42*$K$42</f>
        <v>0</v>
      </c>
      <c r="C43" s="57">
        <f>#N/A</f>
        <v>0</v>
      </c>
      <c r="D43" s="57">
        <f>#N/A</f>
        <v>0</v>
      </c>
      <c r="E43" s="57">
        <f>#N/A</f>
        <v>0</v>
      </c>
      <c r="F43" s="57">
        <f>#N/A</f>
        <v>0</v>
      </c>
      <c r="G43" s="57">
        <f>#N/A</f>
        <v>0</v>
      </c>
      <c r="H43" s="57"/>
      <c r="I43" s="66">
        <f>SUM(B43:G43)</f>
        <v>0</v>
      </c>
      <c r="J43" s="57"/>
      <c r="L43" s="70"/>
      <c r="M43" s="71"/>
    </row>
    <row r="44" spans="1:13" s="47" customFormat="1">
      <c r="A44" s="58"/>
      <c r="B44" s="59"/>
      <c r="C44" s="59"/>
      <c r="D44" s="59"/>
      <c r="E44" s="59"/>
      <c r="F44" s="59"/>
      <c r="G44" s="59"/>
      <c r="H44" s="59"/>
      <c r="I44" s="72"/>
      <c r="J44" s="57"/>
      <c r="L44" s="70"/>
      <c r="M44" s="71"/>
    </row>
    <row r="45" spans="1:13" s="47" customFormat="1">
      <c r="A45" s="56" t="s">
        <v>68</v>
      </c>
      <c r="B45" s="57"/>
      <c r="C45" s="57"/>
      <c r="D45" s="57"/>
      <c r="E45" s="57"/>
      <c r="F45" s="57"/>
      <c r="G45" s="57"/>
      <c r="H45" s="57"/>
      <c r="I45" s="66">
        <f>SUM(B45:G45)</f>
        <v>0</v>
      </c>
      <c r="J45" s="57" t="s">
        <v>62</v>
      </c>
      <c r="K45" s="67"/>
      <c r="L45" s="68">
        <f>I45*K45</f>
        <v>0</v>
      </c>
      <c r="M45" s="69" t="s">
        <v>27</v>
      </c>
    </row>
    <row r="46" spans="1:13" s="47" customFormat="1">
      <c r="A46" s="56" t="s">
        <v>69</v>
      </c>
      <c r="B46" s="57">
        <f>B45*$K$45</f>
        <v>0</v>
      </c>
      <c r="C46" s="57">
        <f>#N/A</f>
        <v>0</v>
      </c>
      <c r="D46" s="57">
        <f>#N/A</f>
        <v>0</v>
      </c>
      <c r="E46" s="57">
        <f>#N/A</f>
        <v>0</v>
      </c>
      <c r="F46" s="57">
        <f>#N/A</f>
        <v>0</v>
      </c>
      <c r="G46" s="57">
        <f>#N/A</f>
        <v>0</v>
      </c>
      <c r="H46" s="57"/>
      <c r="I46" s="66">
        <f>SUM(B46:G46)</f>
        <v>0</v>
      </c>
      <c r="J46" s="57"/>
      <c r="L46" s="70"/>
      <c r="M46" s="71"/>
    </row>
    <row r="47" spans="1:13" s="47" customFormat="1">
      <c r="A47" s="58"/>
      <c r="B47" s="59"/>
      <c r="C47" s="59"/>
      <c r="D47" s="59"/>
      <c r="E47" s="59"/>
      <c r="F47" s="59"/>
      <c r="G47" s="59"/>
      <c r="H47" s="59"/>
      <c r="I47" s="72"/>
      <c r="J47" s="57"/>
      <c r="L47" s="70"/>
      <c r="M47" s="71"/>
    </row>
    <row r="48" spans="1:13" s="47" customFormat="1">
      <c r="A48" s="56" t="s">
        <v>70</v>
      </c>
      <c r="B48" s="57">
        <v>1</v>
      </c>
      <c r="C48" s="57">
        <v>1</v>
      </c>
      <c r="D48" s="57">
        <v>1</v>
      </c>
      <c r="E48" s="57">
        <v>1</v>
      </c>
      <c r="F48" s="57">
        <v>1</v>
      </c>
      <c r="G48" s="57">
        <v>1</v>
      </c>
      <c r="H48" s="57"/>
      <c r="I48" s="66">
        <f>SUM(B48:H48)</f>
        <v>6</v>
      </c>
      <c r="J48" s="57" t="s">
        <v>62</v>
      </c>
      <c r="K48" s="67">
        <v>5</v>
      </c>
      <c r="L48" s="68">
        <f>I48*K48</f>
        <v>30</v>
      </c>
      <c r="M48" s="69" t="s">
        <v>28</v>
      </c>
    </row>
    <row r="49" spans="1:29" s="47" customFormat="1">
      <c r="A49" s="56" t="s">
        <v>71</v>
      </c>
      <c r="B49" s="57">
        <f>B48*$K$48</f>
        <v>5</v>
      </c>
      <c r="C49" s="57">
        <f t="shared" ref="C49:H49" si="21">C48*$K$48</f>
        <v>5</v>
      </c>
      <c r="D49" s="57">
        <f t="shared" si="21"/>
        <v>5</v>
      </c>
      <c r="E49" s="57">
        <f t="shared" si="21"/>
        <v>5</v>
      </c>
      <c r="F49" s="57">
        <f t="shared" si="21"/>
        <v>5</v>
      </c>
      <c r="G49" s="57">
        <f t="shared" si="21"/>
        <v>5</v>
      </c>
      <c r="H49" s="57">
        <f t="shared" si="21"/>
        <v>0</v>
      </c>
      <c r="I49" s="66">
        <f>SUM(B49:H49)</f>
        <v>30</v>
      </c>
      <c r="J49" s="57"/>
      <c r="L49" s="70"/>
      <c r="M49" s="71"/>
    </row>
    <row r="50" spans="1:29" s="47" customFormat="1">
      <c r="A50" s="58"/>
      <c r="B50" s="61"/>
      <c r="C50" s="61"/>
      <c r="D50" s="61"/>
      <c r="E50" s="61"/>
      <c r="F50" s="61"/>
      <c r="G50" s="61"/>
      <c r="H50" s="61"/>
      <c r="I50" s="72"/>
      <c r="J50" s="57"/>
      <c r="L50" s="70"/>
      <c r="M50" s="71"/>
    </row>
    <row r="51" spans="1:29" s="47" customFormat="1">
      <c r="A51" s="56" t="s">
        <v>72</v>
      </c>
      <c r="B51" s="57"/>
      <c r="C51" s="57"/>
      <c r="D51" s="57"/>
      <c r="E51" s="57"/>
      <c r="F51" s="57"/>
      <c r="G51" s="57"/>
      <c r="H51" s="57"/>
      <c r="I51" s="66">
        <f>SUM(B51:H51)</f>
        <v>0</v>
      </c>
      <c r="J51" s="57" t="s">
        <v>62</v>
      </c>
      <c r="K51" s="67"/>
      <c r="L51" s="68">
        <f>I51*K51</f>
        <v>0</v>
      </c>
      <c r="M51" s="69" t="s">
        <v>29</v>
      </c>
    </row>
    <row r="52" spans="1:29" s="47" customFormat="1">
      <c r="A52" s="56" t="s">
        <v>73</v>
      </c>
      <c r="B52" s="57"/>
      <c r="C52" s="57">
        <f t="shared" ref="C52:H52" si="22">C51*$K$51</f>
        <v>0</v>
      </c>
      <c r="D52" s="57">
        <f t="shared" si="22"/>
        <v>0</v>
      </c>
      <c r="E52" s="57">
        <f t="shared" si="22"/>
        <v>0</v>
      </c>
      <c r="F52" s="57">
        <f t="shared" si="22"/>
        <v>0</v>
      </c>
      <c r="G52" s="57">
        <f t="shared" si="22"/>
        <v>0</v>
      </c>
      <c r="H52" s="57">
        <f t="shared" si="22"/>
        <v>0</v>
      </c>
      <c r="I52" s="66">
        <f>SUM(B52:H52)</f>
        <v>0</v>
      </c>
      <c r="J52" s="57"/>
      <c r="L52" s="70"/>
      <c r="M52" s="71"/>
    </row>
    <row r="53" spans="1:29" s="47" customFormat="1">
      <c r="A53" s="58"/>
      <c r="B53" s="61"/>
      <c r="C53" s="61"/>
      <c r="D53" s="61"/>
      <c r="E53" s="61"/>
      <c r="F53" s="61"/>
      <c r="G53" s="61"/>
      <c r="H53" s="61"/>
      <c r="I53" s="72"/>
      <c r="J53" s="57"/>
      <c r="L53" s="70"/>
      <c r="M53" s="71"/>
    </row>
    <row r="54" spans="1:29" s="47" customFormat="1">
      <c r="A54" s="56" t="s">
        <v>74</v>
      </c>
      <c r="B54" s="57"/>
      <c r="C54" s="57"/>
      <c r="D54" s="57"/>
      <c r="E54" s="57"/>
      <c r="F54" s="57"/>
      <c r="G54" s="57"/>
      <c r="H54" s="57"/>
      <c r="I54" s="66">
        <f>SUM(B54:G54)</f>
        <v>0</v>
      </c>
      <c r="J54" s="57" t="s">
        <v>62</v>
      </c>
      <c r="K54" s="67"/>
      <c r="L54" s="68">
        <f>I54*K54</f>
        <v>0</v>
      </c>
      <c r="M54" s="69" t="s">
        <v>30</v>
      </c>
    </row>
    <row r="55" spans="1:29" s="47" customFormat="1">
      <c r="A55" s="56" t="s">
        <v>75</v>
      </c>
      <c r="B55" s="57">
        <f>B54*$K$54</f>
        <v>0</v>
      </c>
      <c r="C55" s="57">
        <f>#N/A</f>
        <v>0</v>
      </c>
      <c r="D55" s="57">
        <f>#N/A</f>
        <v>0</v>
      </c>
      <c r="E55" s="57">
        <f>#N/A</f>
        <v>0</v>
      </c>
      <c r="F55" s="57">
        <f>#N/A</f>
        <v>0</v>
      </c>
      <c r="G55" s="57">
        <f>#N/A</f>
        <v>0</v>
      </c>
      <c r="H55" s="57"/>
      <c r="I55" s="66">
        <f>SUM(B55:G55)</f>
        <v>0</v>
      </c>
      <c r="J55" s="57"/>
      <c r="L55" s="70"/>
      <c r="M55" s="71"/>
    </row>
    <row r="56" spans="1:29" s="47" customFormat="1">
      <c r="A56" s="58"/>
      <c r="B56" s="61"/>
      <c r="C56" s="61"/>
      <c r="D56" s="61"/>
      <c r="E56" s="61"/>
      <c r="F56" s="61"/>
      <c r="G56" s="61"/>
      <c r="H56" s="61"/>
      <c r="I56" s="72"/>
      <c r="J56" s="57"/>
      <c r="L56" s="70"/>
      <c r="M56" s="71"/>
    </row>
    <row r="57" spans="1:29" s="47" customFormat="1">
      <c r="A57" s="56" t="s">
        <v>76</v>
      </c>
      <c r="B57" s="57"/>
      <c r="C57" s="57"/>
      <c r="D57" s="57"/>
      <c r="E57" s="57"/>
      <c r="F57" s="57"/>
      <c r="G57" s="57"/>
      <c r="H57" s="57"/>
      <c r="I57" s="66">
        <f>SUM(B57:G57)</f>
        <v>0</v>
      </c>
      <c r="J57" s="57" t="s">
        <v>62</v>
      </c>
      <c r="K57" s="67"/>
      <c r="L57" s="68">
        <f>I57*K57</f>
        <v>0</v>
      </c>
      <c r="M57" s="69" t="s">
        <v>31</v>
      </c>
      <c r="N57" s="75"/>
      <c r="O57" s="76"/>
      <c r="P57" s="76"/>
      <c r="Q57" s="76"/>
      <c r="R57" s="76"/>
      <c r="S57" s="76"/>
      <c r="T57" s="76"/>
      <c r="U57" s="76"/>
      <c r="V57" s="80"/>
      <c r="W57" s="76"/>
      <c r="X57" s="67"/>
      <c r="Y57" s="68"/>
      <c r="Z57" s="78"/>
      <c r="AA57" s="78"/>
      <c r="AB57" s="78"/>
      <c r="AC57" s="78"/>
    </row>
    <row r="58" spans="1:29" s="47" customFormat="1">
      <c r="A58" s="56" t="s">
        <v>77</v>
      </c>
      <c r="B58" s="57">
        <f>#N/A</f>
        <v>0</v>
      </c>
      <c r="C58" s="57">
        <f>#N/A</f>
        <v>0</v>
      </c>
      <c r="D58" s="57">
        <f>#N/A</f>
        <v>0</v>
      </c>
      <c r="E58" s="57">
        <f>#N/A</f>
        <v>0</v>
      </c>
      <c r="F58" s="57">
        <f>#N/A</f>
        <v>0</v>
      </c>
      <c r="G58" s="57"/>
      <c r="H58" s="57"/>
      <c r="I58" s="66">
        <f>SUM(B58:G58)</f>
        <v>0</v>
      </c>
      <c r="J58" s="57"/>
      <c r="L58" s="70"/>
      <c r="M58" s="71"/>
      <c r="N58" s="75"/>
      <c r="O58" s="76"/>
      <c r="P58" s="76"/>
      <c r="Q58" s="76"/>
      <c r="R58" s="76"/>
      <c r="S58" s="76"/>
      <c r="T58" s="76"/>
      <c r="U58" s="76"/>
      <c r="V58" s="80"/>
      <c r="W58" s="76"/>
      <c r="X58" s="78"/>
      <c r="Y58" s="83"/>
      <c r="Z58" s="78"/>
      <c r="AA58" s="78"/>
      <c r="AB58" s="78"/>
      <c r="AC58" s="78"/>
    </row>
    <row r="59" spans="1:29" s="47" customFormat="1">
      <c r="A59" s="56"/>
      <c r="B59" s="61"/>
      <c r="C59" s="61"/>
      <c r="D59" s="61"/>
      <c r="E59" s="61"/>
      <c r="F59" s="61"/>
      <c r="G59" s="61"/>
      <c r="H59" s="61"/>
      <c r="I59" s="72"/>
      <c r="J59" s="57"/>
      <c r="L59" s="70"/>
      <c r="M59" s="71"/>
      <c r="N59" s="75"/>
      <c r="O59" s="77"/>
      <c r="P59" s="77"/>
      <c r="Q59" s="77"/>
      <c r="R59" s="77"/>
      <c r="S59" s="77"/>
      <c r="T59" s="77"/>
      <c r="U59" s="77"/>
      <c r="V59" s="81"/>
      <c r="W59" s="76"/>
      <c r="X59" s="78"/>
      <c r="Y59" s="83"/>
      <c r="Z59" s="78"/>
      <c r="AA59" s="78"/>
      <c r="AB59" s="78"/>
      <c r="AC59" s="78"/>
    </row>
    <row r="60" spans="1:29" s="47" customFormat="1" ht="13">
      <c r="A60" s="382" t="s">
        <v>78</v>
      </c>
      <c r="B60" s="62">
        <f t="shared" ref="B60:I60" si="23">SUM(B55,B52,B49,B46,B43,B40,B37,B58)</f>
        <v>5</v>
      </c>
      <c r="C60" s="62">
        <f t="shared" si="23"/>
        <v>5</v>
      </c>
      <c r="D60" s="62">
        <f t="shared" si="23"/>
        <v>5</v>
      </c>
      <c r="E60" s="62">
        <f t="shared" si="23"/>
        <v>5</v>
      </c>
      <c r="F60" s="62">
        <f t="shared" si="23"/>
        <v>5</v>
      </c>
      <c r="G60" s="62">
        <f t="shared" si="23"/>
        <v>5</v>
      </c>
      <c r="H60" s="62">
        <f t="shared" si="23"/>
        <v>0</v>
      </c>
      <c r="I60" s="62">
        <f t="shared" si="23"/>
        <v>30</v>
      </c>
      <c r="J60" s="57"/>
      <c r="L60" s="70"/>
      <c r="M60" s="71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</row>
    <row r="61" spans="1:29" s="47" customFormat="1" ht="13">
      <c r="A61" s="384"/>
      <c r="B61" s="57"/>
      <c r="C61" s="57"/>
      <c r="D61" s="57"/>
      <c r="E61" s="57"/>
      <c r="F61" s="57"/>
      <c r="G61" s="57"/>
      <c r="H61" s="57"/>
      <c r="J61" s="57"/>
      <c r="K61" s="47">
        <f>SUM(K36:K59)</f>
        <v>5</v>
      </c>
      <c r="L61" s="79">
        <f>SUM(L36:L59)</f>
        <v>30</v>
      </c>
      <c r="M61" s="71"/>
    </row>
  </sheetData>
  <mergeCells count="4">
    <mergeCell ref="N1:O1"/>
    <mergeCell ref="A29:A30"/>
    <mergeCell ref="A60:A61"/>
    <mergeCell ref="N29:N30"/>
  </mergeCells>
  <pageMargins left="0.25" right="0.25" top="1" bottom="1" header="0.3" footer="0.3"/>
  <pageSetup paperSize="5" scale="8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"/>
  <sheetViews>
    <sheetView zoomScaleSheetLayoutView="100" workbookViewId="0">
      <pane xSplit="1" ySplit="2" topLeftCell="AA3" activePane="bottomRight" state="frozen"/>
      <selection pane="topRight"/>
      <selection pane="bottomLeft"/>
      <selection pane="bottomRight" activeCell="AG3" sqref="AG3:AG8"/>
    </sheetView>
  </sheetViews>
  <sheetFormatPr defaultColWidth="8.7265625" defaultRowHeight="12.5"/>
  <cols>
    <col min="2" max="3" width="16.81640625" customWidth="1"/>
    <col min="4" max="5" width="13.81640625" customWidth="1"/>
    <col min="6" max="8" width="4.453125" customWidth="1"/>
    <col min="9" max="9" width="7.7265625" customWidth="1"/>
    <col min="10" max="10" width="13.1796875" customWidth="1"/>
    <col min="11" max="11" width="16" customWidth="1"/>
    <col min="12" max="12" width="11.81640625" customWidth="1"/>
    <col min="13" max="13" width="13.26953125" customWidth="1"/>
    <col min="14" max="16" width="20.453125" customWidth="1"/>
    <col min="17" max="19" width="17.7265625" customWidth="1"/>
    <col min="20" max="20" width="19.54296875" customWidth="1"/>
    <col min="21" max="21" width="19.7265625" customWidth="1"/>
    <col min="22" max="24" width="26.1796875" customWidth="1"/>
    <col min="25" max="25" width="16.453125" customWidth="1"/>
    <col min="26" max="26" width="13.81640625" customWidth="1"/>
    <col min="27" max="27" width="11" customWidth="1"/>
    <col min="28" max="30" width="12" customWidth="1"/>
    <col min="31" max="33" width="22.1796875" customWidth="1"/>
    <col min="34" max="36" width="15.1796875" customWidth="1"/>
    <col min="37" max="39" width="21.81640625" customWidth="1"/>
    <col min="40" max="40" width="15.81640625" customWidth="1"/>
    <col min="43" max="43" width="12.81640625" bestFit="1" customWidth="1"/>
  </cols>
  <sheetData>
    <row r="1" spans="1:43" ht="14.5">
      <c r="B1" s="385" t="s">
        <v>79</v>
      </c>
      <c r="C1" s="386"/>
      <c r="D1" s="387"/>
      <c r="E1" s="387"/>
      <c r="F1" s="387"/>
      <c r="G1" s="387"/>
      <c r="H1" s="387"/>
      <c r="I1" s="387"/>
      <c r="J1" s="387"/>
      <c r="K1" s="387"/>
      <c r="L1" s="387"/>
      <c r="M1" s="388"/>
      <c r="N1" s="386" t="s">
        <v>80</v>
      </c>
      <c r="O1" s="386"/>
      <c r="P1" s="386"/>
      <c r="Q1" s="387"/>
      <c r="R1" s="387"/>
      <c r="S1" s="387"/>
      <c r="T1" s="387"/>
      <c r="U1" s="389"/>
      <c r="V1" s="390" t="s">
        <v>81</v>
      </c>
      <c r="W1" s="386"/>
      <c r="X1" s="386"/>
      <c r="Y1" s="387"/>
      <c r="Z1" s="388"/>
      <c r="AA1" s="30" t="s">
        <v>82</v>
      </c>
      <c r="AB1" s="386" t="s">
        <v>83</v>
      </c>
      <c r="AC1" s="386"/>
      <c r="AD1" s="386"/>
      <c r="AE1" s="387"/>
      <c r="AF1" s="387"/>
      <c r="AG1" s="387"/>
      <c r="AH1" s="387"/>
      <c r="AI1" s="387"/>
      <c r="AJ1" s="387"/>
      <c r="AK1" s="387"/>
      <c r="AL1" s="389"/>
      <c r="AM1" s="389"/>
      <c r="AN1" s="389"/>
    </row>
    <row r="2" spans="1:43" ht="14.5">
      <c r="B2" s="1" t="s">
        <v>84</v>
      </c>
      <c r="C2" s="2"/>
      <c r="D2" s="3" t="s">
        <v>85</v>
      </c>
      <c r="E2" s="3"/>
      <c r="F2" s="3" t="s">
        <v>86</v>
      </c>
      <c r="G2" s="3"/>
      <c r="H2" s="3"/>
      <c r="I2" s="3" t="s">
        <v>87</v>
      </c>
      <c r="J2" s="3" t="s">
        <v>88</v>
      </c>
      <c r="K2" s="3" t="s">
        <v>89</v>
      </c>
      <c r="L2" s="3" t="s">
        <v>90</v>
      </c>
      <c r="M2" s="15" t="s">
        <v>91</v>
      </c>
      <c r="N2" s="16" t="s">
        <v>92</v>
      </c>
      <c r="O2" s="2"/>
      <c r="P2" s="2"/>
      <c r="Q2" s="3" t="s">
        <v>93</v>
      </c>
      <c r="R2" s="3"/>
      <c r="S2" s="3"/>
      <c r="T2" s="3" t="s">
        <v>94</v>
      </c>
      <c r="U2" s="21" t="s">
        <v>95</v>
      </c>
      <c r="V2" s="22" t="s">
        <v>96</v>
      </c>
      <c r="W2" s="2"/>
      <c r="X2" s="2"/>
      <c r="Y2" s="3" t="s">
        <v>97</v>
      </c>
      <c r="Z2" s="15" t="s">
        <v>98</v>
      </c>
      <c r="AA2" s="31" t="s">
        <v>99</v>
      </c>
      <c r="AB2" s="16" t="s">
        <v>100</v>
      </c>
      <c r="AC2" s="2"/>
      <c r="AD2" s="2"/>
      <c r="AE2" s="3" t="s">
        <v>101</v>
      </c>
      <c r="AF2" s="3"/>
      <c r="AG2" s="3"/>
      <c r="AH2" s="3" t="s">
        <v>102</v>
      </c>
      <c r="AI2" s="3"/>
      <c r="AJ2" s="3"/>
      <c r="AK2" s="3" t="s">
        <v>103</v>
      </c>
      <c r="AL2" s="41"/>
      <c r="AM2" s="41"/>
      <c r="AN2" s="21" t="s">
        <v>104</v>
      </c>
    </row>
    <row r="3" spans="1:43" ht="14.5">
      <c r="A3" s="4" t="s">
        <v>105</v>
      </c>
      <c r="B3" s="5">
        <v>5</v>
      </c>
      <c r="C3" s="6">
        <f t="shared" ref="C3:C8" si="0">B3/SUM($B$3:$B$8)</f>
        <v>9.8039215686274508E-2</v>
      </c>
      <c r="D3" s="7">
        <v>3</v>
      </c>
      <c r="E3" s="6">
        <f t="shared" ref="E3:E8" si="1">D3/SUM($D$3:$D$8)</f>
        <v>9.0909090909090912E-2</v>
      </c>
      <c r="F3" s="7">
        <v>5</v>
      </c>
      <c r="G3" s="8">
        <f t="shared" ref="G3:G8" si="2">F3/SUM($F$3:$F$8)</f>
        <v>5.8139534883720929E-2</v>
      </c>
      <c r="H3" s="7">
        <f t="shared" ref="H3:H8" si="3">G3*$G$9</f>
        <v>0.46511627906976744</v>
      </c>
      <c r="I3" s="7">
        <v>1</v>
      </c>
      <c r="N3" s="17">
        <v>6</v>
      </c>
      <c r="O3" s="6">
        <f t="shared" ref="O3:O8" si="4">N3/SUM(N$3:N$8)</f>
        <v>7.4999999999999997E-2</v>
      </c>
      <c r="P3" s="18">
        <f t="shared" ref="P3:P8" si="5">O3*O$9</f>
        <v>0.89999999999999991</v>
      </c>
      <c r="Q3" s="7">
        <v>6</v>
      </c>
      <c r="R3" s="8">
        <f t="shared" ref="R3:R8" si="6">Q3/SUM($Q$3:$Q$8)</f>
        <v>0.13953488372093023</v>
      </c>
      <c r="S3" s="23">
        <f t="shared" ref="S3:S8" si="7">R3*$R$9</f>
        <v>1.6744186046511627</v>
      </c>
      <c r="T3" s="7"/>
      <c r="U3" s="24"/>
      <c r="V3" s="25">
        <v>3</v>
      </c>
      <c r="W3" s="6">
        <f t="shared" ref="W3:W8" si="8">V3/SUM(V$3:V$8)</f>
        <v>6.6666666666666666E-2</v>
      </c>
      <c r="X3" s="18">
        <f t="shared" ref="X3:X8" si="9">W3*W$9</f>
        <v>0.8</v>
      </c>
      <c r="Y3" s="7">
        <v>3</v>
      </c>
      <c r="Z3" s="32"/>
      <c r="AA3" s="33">
        <v>1</v>
      </c>
      <c r="AB3" s="17">
        <v>3</v>
      </c>
      <c r="AC3" s="6">
        <f>AB3/SUM($AB$3:$AB$8)</f>
        <v>0.06</v>
      </c>
      <c r="AD3" s="34">
        <f>#N/A</f>
        <v>0.72</v>
      </c>
      <c r="AE3" s="7">
        <v>10</v>
      </c>
      <c r="AF3" s="8">
        <f t="shared" ref="AF3:AF8" si="10">AE3/SUM($AE$3:$AE$8)</f>
        <v>0.11363636363636363</v>
      </c>
      <c r="AG3" s="7">
        <f t="shared" ref="AG3:AG8" si="11">AF3*$AF$9</f>
        <v>2.2727272727272725</v>
      </c>
      <c r="AH3" s="7">
        <v>8</v>
      </c>
      <c r="AI3" s="8">
        <f t="shared" ref="AI3:AI8" si="12">AH3/SUM($AH$3:$AH$8)</f>
        <v>0.13333333333333333</v>
      </c>
      <c r="AJ3" s="7">
        <f t="shared" ref="AJ3:AJ8" si="13">AI3*$AI$9</f>
        <v>2.6666666666666665</v>
      </c>
      <c r="AK3" s="24">
        <v>6</v>
      </c>
      <c r="AL3" s="42">
        <f t="shared" ref="AL3:AL8" si="14">AK3/SUM($AK$3:$AK$8)</f>
        <v>0.13043478260869565</v>
      </c>
      <c r="AM3" s="43">
        <f t="shared" ref="AM3:AM8" si="15">AL3*$AL$9</f>
        <v>2.6086956521739131</v>
      </c>
      <c r="AN3" s="24">
        <v>6</v>
      </c>
      <c r="AO3" s="44">
        <v>41</v>
      </c>
      <c r="AP3" s="45">
        <v>0.10301507537688442</v>
      </c>
      <c r="AQ3" s="46">
        <f t="shared" ref="AQ3:AQ8" si="16">AP3*$AP$9</f>
        <v>1.6482412060301508</v>
      </c>
    </row>
    <row r="4" spans="1:43" ht="14.5">
      <c r="A4" s="9" t="s">
        <v>106</v>
      </c>
      <c r="B4" s="10">
        <v>6</v>
      </c>
      <c r="C4" s="6">
        <f t="shared" si="0"/>
        <v>0.11764705882352941</v>
      </c>
      <c r="D4" s="11">
        <v>3</v>
      </c>
      <c r="E4" s="6">
        <f t="shared" si="1"/>
        <v>9.0909090909090912E-2</v>
      </c>
      <c r="F4" s="11">
        <v>19</v>
      </c>
      <c r="G4" s="8">
        <f t="shared" si="2"/>
        <v>0.22093023255813954</v>
      </c>
      <c r="H4" s="7">
        <f t="shared" si="3"/>
        <v>1.7674418604651163</v>
      </c>
      <c r="I4" s="11">
        <v>1</v>
      </c>
      <c r="N4" s="19">
        <v>15</v>
      </c>
      <c r="O4" s="6">
        <f t="shared" si="4"/>
        <v>0.1875</v>
      </c>
      <c r="P4" s="18">
        <f t="shared" si="5"/>
        <v>2.25</v>
      </c>
      <c r="Q4" s="11">
        <v>6</v>
      </c>
      <c r="R4" s="8">
        <f t="shared" si="6"/>
        <v>0.13953488372093023</v>
      </c>
      <c r="S4" s="23">
        <f t="shared" si="7"/>
        <v>1.6744186046511627</v>
      </c>
      <c r="T4" s="11"/>
      <c r="U4" s="26"/>
      <c r="V4" s="27">
        <v>9</v>
      </c>
      <c r="W4" s="6">
        <f t="shared" si="8"/>
        <v>0.2</v>
      </c>
      <c r="X4" s="18">
        <f t="shared" si="9"/>
        <v>2.4000000000000004</v>
      </c>
      <c r="Y4" s="11">
        <v>6</v>
      </c>
      <c r="Z4" s="35"/>
      <c r="AA4" s="36">
        <v>3</v>
      </c>
      <c r="AB4" s="19">
        <v>10</v>
      </c>
      <c r="AC4" s="6">
        <f>AB4/SUM($AB$3:$AB$8)</f>
        <v>0.2</v>
      </c>
      <c r="AD4" s="34">
        <f>#N/A</f>
        <v>2.4000000000000004</v>
      </c>
      <c r="AE4" s="11">
        <v>16</v>
      </c>
      <c r="AF4" s="8">
        <f t="shared" si="10"/>
        <v>0.18181818181818182</v>
      </c>
      <c r="AG4" s="7">
        <f t="shared" si="11"/>
        <v>3.6363636363636367</v>
      </c>
      <c r="AH4" s="11">
        <v>10</v>
      </c>
      <c r="AI4" s="8">
        <f t="shared" si="12"/>
        <v>0.16666666666666666</v>
      </c>
      <c r="AJ4" s="7">
        <f t="shared" si="13"/>
        <v>3.333333333333333</v>
      </c>
      <c r="AK4" s="26">
        <v>9</v>
      </c>
      <c r="AL4" s="42">
        <f t="shared" si="14"/>
        <v>0.19565217391304349</v>
      </c>
      <c r="AM4" s="43">
        <f t="shared" si="15"/>
        <v>3.9130434782608696</v>
      </c>
      <c r="AN4" s="26">
        <v>9</v>
      </c>
      <c r="AO4" s="44">
        <v>74</v>
      </c>
      <c r="AP4" s="45">
        <v>0.18592964824120603</v>
      </c>
      <c r="AQ4" s="46">
        <f t="shared" si="16"/>
        <v>2.9748743718592965</v>
      </c>
    </row>
    <row r="5" spans="1:43" ht="14.5">
      <c r="A5" s="9" t="s">
        <v>107</v>
      </c>
      <c r="B5" s="10">
        <v>10</v>
      </c>
      <c r="C5" s="6">
        <f t="shared" si="0"/>
        <v>0.19607843137254902</v>
      </c>
      <c r="D5" s="11">
        <v>11</v>
      </c>
      <c r="E5" s="6">
        <f t="shared" si="1"/>
        <v>0.33333333333333331</v>
      </c>
      <c r="F5" s="11">
        <v>24</v>
      </c>
      <c r="G5" s="8">
        <f t="shared" si="2"/>
        <v>0.27906976744186046</v>
      </c>
      <c r="H5" s="7">
        <f t="shared" si="3"/>
        <v>2.2325581395348837</v>
      </c>
      <c r="I5" s="11">
        <v>6</v>
      </c>
      <c r="N5" s="19">
        <v>26</v>
      </c>
      <c r="O5" s="6">
        <f t="shared" si="4"/>
        <v>0.32500000000000001</v>
      </c>
      <c r="P5" s="18">
        <f t="shared" si="5"/>
        <v>3.9000000000000004</v>
      </c>
      <c r="Q5" s="11">
        <v>10</v>
      </c>
      <c r="R5" s="8">
        <f t="shared" si="6"/>
        <v>0.23255813953488372</v>
      </c>
      <c r="S5" s="23">
        <f t="shared" si="7"/>
        <v>2.7906976744186047</v>
      </c>
      <c r="T5" s="11"/>
      <c r="U5" s="26"/>
      <c r="V5" s="27">
        <v>15</v>
      </c>
      <c r="W5" s="6">
        <f t="shared" si="8"/>
        <v>0.33333333333333331</v>
      </c>
      <c r="X5" s="18">
        <f t="shared" si="9"/>
        <v>4</v>
      </c>
      <c r="Y5" s="11">
        <v>11</v>
      </c>
      <c r="Z5" s="35"/>
      <c r="AA5" s="36">
        <v>8</v>
      </c>
      <c r="AB5" s="19">
        <v>15</v>
      </c>
      <c r="AC5" s="6">
        <f>AB5/SUM($AB$3:$AB$8)</f>
        <v>0.3</v>
      </c>
      <c r="AD5" s="34">
        <f>#N/A</f>
        <v>3.5999999999999996</v>
      </c>
      <c r="AE5" s="11">
        <v>26</v>
      </c>
      <c r="AF5" s="8">
        <f t="shared" si="10"/>
        <v>0.29545454545454547</v>
      </c>
      <c r="AG5" s="7">
        <f t="shared" si="11"/>
        <v>5.9090909090909092</v>
      </c>
      <c r="AH5" s="11">
        <v>15</v>
      </c>
      <c r="AI5" s="8">
        <f t="shared" si="12"/>
        <v>0.25</v>
      </c>
      <c r="AJ5" s="7">
        <f t="shared" si="13"/>
        <v>5</v>
      </c>
      <c r="AK5" s="26">
        <v>14</v>
      </c>
      <c r="AL5" s="42">
        <f t="shared" si="14"/>
        <v>0.30434782608695654</v>
      </c>
      <c r="AM5" s="43">
        <f t="shared" si="15"/>
        <v>6.0869565217391308</v>
      </c>
      <c r="AN5" s="26">
        <v>14</v>
      </c>
      <c r="AO5" s="44">
        <v>114</v>
      </c>
      <c r="AP5" s="45">
        <v>0.28643216080402012</v>
      </c>
      <c r="AQ5" s="46">
        <f t="shared" si="16"/>
        <v>4.5829145728643219</v>
      </c>
    </row>
    <row r="6" spans="1:43" ht="14.5">
      <c r="A6" s="9" t="s">
        <v>108</v>
      </c>
      <c r="B6" s="10">
        <v>14</v>
      </c>
      <c r="C6" s="6">
        <f t="shared" si="0"/>
        <v>0.27450980392156865</v>
      </c>
      <c r="D6" s="11">
        <v>7</v>
      </c>
      <c r="E6" s="6">
        <f t="shared" si="1"/>
        <v>0.21212121212121213</v>
      </c>
      <c r="F6" s="11">
        <v>20</v>
      </c>
      <c r="G6" s="8">
        <f t="shared" si="2"/>
        <v>0.23255813953488372</v>
      </c>
      <c r="H6" s="7">
        <f t="shared" si="3"/>
        <v>1.8604651162790697</v>
      </c>
      <c r="I6" s="11">
        <v>4</v>
      </c>
      <c r="N6" s="19">
        <v>16</v>
      </c>
      <c r="O6" s="6">
        <f t="shared" si="4"/>
        <v>0.2</v>
      </c>
      <c r="P6" s="18">
        <f t="shared" si="5"/>
        <v>2.4000000000000004</v>
      </c>
      <c r="Q6" s="11">
        <v>11</v>
      </c>
      <c r="R6" s="8">
        <f t="shared" si="6"/>
        <v>0.2558139534883721</v>
      </c>
      <c r="S6" s="23">
        <f t="shared" si="7"/>
        <v>3.0697674418604652</v>
      </c>
      <c r="T6" s="11"/>
      <c r="U6" s="26">
        <v>1</v>
      </c>
      <c r="V6" s="27">
        <v>7</v>
      </c>
      <c r="W6" s="6">
        <f t="shared" si="8"/>
        <v>0.15555555555555556</v>
      </c>
      <c r="X6" s="18">
        <f t="shared" si="9"/>
        <v>1.8666666666666667</v>
      </c>
      <c r="Y6" s="11">
        <v>10</v>
      </c>
      <c r="Z6" s="35"/>
      <c r="AA6" s="36">
        <v>7</v>
      </c>
      <c r="AB6" s="19">
        <v>17</v>
      </c>
      <c r="AC6" s="6">
        <f>AB6/SUM($AB$3:$AB$8)</f>
        <v>0.34</v>
      </c>
      <c r="AD6" s="34">
        <f>#N/A</f>
        <v>4.08</v>
      </c>
      <c r="AE6" s="11">
        <v>18</v>
      </c>
      <c r="AF6" s="8">
        <f t="shared" si="10"/>
        <v>0.20454545454545456</v>
      </c>
      <c r="AG6" s="7">
        <f t="shared" si="11"/>
        <v>4.0909090909090908</v>
      </c>
      <c r="AH6" s="11">
        <v>17</v>
      </c>
      <c r="AI6" s="8">
        <f t="shared" si="12"/>
        <v>0.28333333333333333</v>
      </c>
      <c r="AJ6" s="7">
        <f t="shared" si="13"/>
        <v>5.6666666666666661</v>
      </c>
      <c r="AK6" s="26">
        <v>9</v>
      </c>
      <c r="AL6" s="42">
        <f t="shared" si="14"/>
        <v>0.19565217391304349</v>
      </c>
      <c r="AM6" s="43">
        <f t="shared" si="15"/>
        <v>3.9130434782608696</v>
      </c>
      <c r="AN6" s="26">
        <v>9</v>
      </c>
      <c r="AO6" s="44">
        <v>96</v>
      </c>
      <c r="AP6" s="45">
        <v>0.24120603015075376</v>
      </c>
      <c r="AQ6" s="46">
        <f t="shared" si="16"/>
        <v>3.8592964824120601</v>
      </c>
    </row>
    <row r="7" spans="1:43" ht="14.5">
      <c r="A7" s="9" t="s">
        <v>109</v>
      </c>
      <c r="B7" s="10">
        <v>12</v>
      </c>
      <c r="C7" s="6">
        <f t="shared" si="0"/>
        <v>0.23529411764705882</v>
      </c>
      <c r="D7" s="11">
        <v>7</v>
      </c>
      <c r="E7" s="6">
        <f t="shared" si="1"/>
        <v>0.21212121212121213</v>
      </c>
      <c r="F7" s="11">
        <v>13</v>
      </c>
      <c r="G7" s="8">
        <f t="shared" si="2"/>
        <v>0.15116279069767441</v>
      </c>
      <c r="H7" s="7">
        <f t="shared" si="3"/>
        <v>1.2093023255813953</v>
      </c>
      <c r="I7" s="11">
        <v>1</v>
      </c>
      <c r="N7" s="19">
        <v>12</v>
      </c>
      <c r="O7" s="6">
        <f t="shared" si="4"/>
        <v>0.15</v>
      </c>
      <c r="P7" s="18">
        <f t="shared" si="5"/>
        <v>1.7999999999999998</v>
      </c>
      <c r="Q7" s="11">
        <v>7</v>
      </c>
      <c r="R7" s="8">
        <f t="shared" si="6"/>
        <v>0.16279069767441862</v>
      </c>
      <c r="S7" s="23">
        <f t="shared" si="7"/>
        <v>1.9534883720930234</v>
      </c>
      <c r="T7" s="11"/>
      <c r="U7" s="26"/>
      <c r="V7" s="27">
        <v>9</v>
      </c>
      <c r="W7" s="6">
        <f t="shared" si="8"/>
        <v>0.2</v>
      </c>
      <c r="X7" s="18">
        <f t="shared" si="9"/>
        <v>2.4000000000000004</v>
      </c>
      <c r="Y7" s="11">
        <v>3</v>
      </c>
      <c r="Z7" s="35"/>
      <c r="AA7" s="36">
        <v>6</v>
      </c>
      <c r="AB7" s="19">
        <v>5</v>
      </c>
      <c r="AC7" s="6">
        <f>AB7/SUM($AB$3:$AB$8)</f>
        <v>0.1</v>
      </c>
      <c r="AD7" s="34">
        <f>#N/A</f>
        <v>1.2000000000000002</v>
      </c>
      <c r="AE7" s="11">
        <v>12</v>
      </c>
      <c r="AF7" s="8">
        <f t="shared" si="10"/>
        <v>0.13636363636363635</v>
      </c>
      <c r="AG7" s="7">
        <f t="shared" si="11"/>
        <v>2.7272727272727271</v>
      </c>
      <c r="AH7" s="11">
        <v>5</v>
      </c>
      <c r="AI7" s="8">
        <f t="shared" si="12"/>
        <v>8.3333333333333329E-2</v>
      </c>
      <c r="AJ7" s="7">
        <f t="shared" si="13"/>
        <v>1.6666666666666665</v>
      </c>
      <c r="AK7" s="26">
        <v>6</v>
      </c>
      <c r="AL7" s="42">
        <f t="shared" si="14"/>
        <v>0.13043478260869565</v>
      </c>
      <c r="AM7" s="43">
        <f t="shared" si="15"/>
        <v>2.6086956521739131</v>
      </c>
      <c r="AN7" s="26">
        <v>6</v>
      </c>
      <c r="AO7" s="44">
        <v>55</v>
      </c>
      <c r="AP7" s="45">
        <v>0.13819095477386933</v>
      </c>
      <c r="AQ7" s="46">
        <f t="shared" si="16"/>
        <v>2.2110552763819094</v>
      </c>
    </row>
    <row r="8" spans="1:43" ht="14.5">
      <c r="A8" s="12" t="s">
        <v>110</v>
      </c>
      <c r="B8" s="13">
        <v>4</v>
      </c>
      <c r="C8" s="6">
        <f t="shared" si="0"/>
        <v>7.8431372549019607E-2</v>
      </c>
      <c r="D8" s="14">
        <v>2</v>
      </c>
      <c r="E8" s="6">
        <f t="shared" si="1"/>
        <v>6.0606060606060608E-2</v>
      </c>
      <c r="F8" s="14">
        <v>5</v>
      </c>
      <c r="G8" s="8">
        <f t="shared" si="2"/>
        <v>5.8139534883720929E-2</v>
      </c>
      <c r="H8" s="7">
        <f t="shared" si="3"/>
        <v>0.46511627906976744</v>
      </c>
      <c r="I8" s="14">
        <v>2</v>
      </c>
      <c r="N8" s="20">
        <v>5</v>
      </c>
      <c r="O8" s="6">
        <f t="shared" si="4"/>
        <v>6.25E-2</v>
      </c>
      <c r="P8" s="18">
        <f t="shared" si="5"/>
        <v>0.75</v>
      </c>
      <c r="Q8" s="14">
        <v>3</v>
      </c>
      <c r="R8" s="8">
        <f t="shared" si="6"/>
        <v>6.9767441860465115E-2</v>
      </c>
      <c r="S8" s="23">
        <f t="shared" si="7"/>
        <v>0.83720930232558133</v>
      </c>
      <c r="T8" s="14"/>
      <c r="U8" s="28"/>
      <c r="V8" s="29">
        <v>2</v>
      </c>
      <c r="W8" s="6">
        <f t="shared" si="8"/>
        <v>4.4444444444444446E-2</v>
      </c>
      <c r="X8" s="18">
        <f t="shared" si="9"/>
        <v>0.53333333333333333</v>
      </c>
      <c r="Y8" s="14">
        <v>1</v>
      </c>
      <c r="Z8" s="37"/>
      <c r="AA8" s="38">
        <v>2</v>
      </c>
      <c r="AB8" s="20"/>
      <c r="AC8" s="39"/>
      <c r="AD8" s="39"/>
      <c r="AE8" s="14">
        <v>6</v>
      </c>
      <c r="AF8" s="8">
        <f t="shared" si="10"/>
        <v>6.8181818181818177E-2</v>
      </c>
      <c r="AG8" s="7">
        <f t="shared" si="11"/>
        <v>1.3636363636363635</v>
      </c>
      <c r="AH8" s="14">
        <v>5</v>
      </c>
      <c r="AI8" s="8">
        <f t="shared" si="12"/>
        <v>8.3333333333333329E-2</v>
      </c>
      <c r="AJ8" s="7">
        <f t="shared" si="13"/>
        <v>1.6666666666666665</v>
      </c>
      <c r="AK8" s="28">
        <v>2</v>
      </c>
      <c r="AL8" s="42">
        <f t="shared" si="14"/>
        <v>4.3478260869565216E-2</v>
      </c>
      <c r="AM8" s="43">
        <f t="shared" si="15"/>
        <v>0.86956521739130432</v>
      </c>
      <c r="AN8" s="28">
        <v>2</v>
      </c>
      <c r="AO8" s="44">
        <v>18</v>
      </c>
      <c r="AP8" s="45">
        <v>4.5226130653266333E-2</v>
      </c>
      <c r="AQ8" s="46">
        <f t="shared" si="16"/>
        <v>0.72361809045226133</v>
      </c>
    </row>
    <row r="9" spans="1:43">
      <c r="G9">
        <v>8</v>
      </c>
      <c r="O9">
        <v>12</v>
      </c>
      <c r="R9">
        <v>12</v>
      </c>
      <c r="W9">
        <v>12</v>
      </c>
      <c r="AC9">
        <v>12</v>
      </c>
      <c r="AF9">
        <v>20</v>
      </c>
      <c r="AI9">
        <v>20</v>
      </c>
      <c r="AL9">
        <v>20</v>
      </c>
      <c r="AP9">
        <v>16</v>
      </c>
    </row>
    <row r="14" spans="1:43">
      <c r="AD14" s="40"/>
    </row>
    <row r="15" spans="1:43">
      <c r="AD15" s="40"/>
    </row>
    <row r="16" spans="1:43">
      <c r="AD16" s="40"/>
    </row>
    <row r="17" spans="30:30">
      <c r="AD17" s="40"/>
    </row>
    <row r="18" spans="30:30">
      <c r="AD18" s="40"/>
    </row>
  </sheetData>
  <mergeCells count="4">
    <mergeCell ref="B1:M1"/>
    <mergeCell ref="N1:U1"/>
    <mergeCell ref="V1:Z1"/>
    <mergeCell ref="AB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CONFIRMED PO</vt:lpstr>
      <vt:lpstr>packing list</vt:lpstr>
      <vt:lpstr>Sheet2</vt:lpstr>
      <vt:lpstr>'CONFIRMED PO'!Print_Area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Rendy Gunawan</cp:lastModifiedBy>
  <cp:lastPrinted>2021-01-05T04:55:34Z</cp:lastPrinted>
  <dcterms:created xsi:type="dcterms:W3CDTF">2015-03-30T03:01:03Z</dcterms:created>
  <dcterms:modified xsi:type="dcterms:W3CDTF">2026-04-09T08:00:55Z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819B71914F0D41578C3EEB6596F3972F_13</vt:lpwstr>
  </property>
  <property fmtid="{D5CDD505-2E9C-101B-9397-08002B2CF9AE}" pid="3" name="KSOProductBuildVer">
    <vt:lpwstr>2057-12.2.0.20795</vt:lpwstr>
  </property>
  <property fmtid="{D5CDD505-2E9C-101B-9397-08002B2CF9AE}" pid="4" name="KSOReadingLayout">
    <vt:bool>true</vt:bool>
  </property>
</Properties>
</file>