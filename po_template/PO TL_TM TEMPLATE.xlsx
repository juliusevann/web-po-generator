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showInkAnnotation="0"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05EB95BD-5AFA-4EA6-9E2E-617194AA443E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CONFIRMED PO" sheetId="4" r:id="rId1"/>
    <sheet name="packing list" sheetId="13" r:id="rId2"/>
    <sheet name="Sheet2" sheetId="16" state="hidden" r:id="rId3"/>
  </sheets>
  <definedNames>
    <definedName name="_xlnm.Print_Area" localSheetId="0">'CONFIRMED PO'!$A$1:$U$52</definedName>
    <definedName name="_xlnm.Print_Area" localSheetId="1">'packing list'!$A$1:$Y$31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4" l="1"/>
  <c r="M11" i="4"/>
  <c r="N11" i="4"/>
  <c r="J12" i="4"/>
  <c r="K12" i="4"/>
  <c r="L12" i="4"/>
  <c r="M12" i="4"/>
  <c r="N12" i="4"/>
  <c r="O12" i="4"/>
  <c r="R12" i="4" s="1"/>
  <c r="P12" i="4"/>
  <c r="G13" i="4"/>
  <c r="H13" i="4"/>
  <c r="I13" i="4"/>
  <c r="J13" i="4"/>
  <c r="L13" i="4"/>
  <c r="O13" i="4" s="1"/>
  <c r="M13" i="4"/>
  <c r="P13" i="4" s="1"/>
  <c r="N13" i="4"/>
  <c r="K18" i="4"/>
  <c r="L18" i="4" s="1"/>
  <c r="M18" i="4" s="1"/>
  <c r="N18" i="4" s="1"/>
  <c r="O18" i="4" s="1"/>
  <c r="P18" i="4" s="1"/>
  <c r="Q18" i="4" s="1"/>
  <c r="F19" i="4"/>
  <c r="I19" i="4"/>
  <c r="I20" i="4"/>
  <c r="I21" i="4"/>
  <c r="Q21" i="4"/>
  <c r="R21" i="4"/>
  <c r="K22" i="4"/>
  <c r="L22" i="4"/>
  <c r="M22" i="4"/>
  <c r="N22" i="4"/>
  <c r="O22" i="4"/>
  <c r="P22" i="4"/>
  <c r="A27" i="4"/>
  <c r="A36" i="4"/>
  <c r="C36" i="4"/>
  <c r="F36" i="4"/>
  <c r="A3" i="13"/>
  <c r="N3" i="13"/>
  <c r="A4" i="13"/>
  <c r="C4" i="13"/>
  <c r="D4" i="13" s="1"/>
  <c r="E4" i="13" s="1"/>
  <c r="F4" i="13" s="1"/>
  <c r="G4" i="13" s="1"/>
  <c r="H4" i="13" s="1"/>
  <c r="N4" i="13"/>
  <c r="O4" i="13"/>
  <c r="P4" i="13" s="1"/>
  <c r="Q4" i="13" s="1"/>
  <c r="R4" i="13" s="1"/>
  <c r="S4" i="13" s="1"/>
  <c r="T4" i="13" s="1"/>
  <c r="U4" i="13" s="1"/>
  <c r="I5" i="13"/>
  <c r="L5" i="13" s="1"/>
  <c r="V5" i="13"/>
  <c r="Y5" i="13" s="1"/>
  <c r="B6" i="13"/>
  <c r="C6" i="13"/>
  <c r="D6" i="13"/>
  <c r="E6" i="13"/>
  <c r="F6" i="13"/>
  <c r="G6" i="13"/>
  <c r="H6" i="13"/>
  <c r="I6" i="13" s="1"/>
  <c r="O6" i="13"/>
  <c r="P6" i="13"/>
  <c r="Q6" i="13"/>
  <c r="R6" i="13"/>
  <c r="S6" i="13"/>
  <c r="T6" i="13"/>
  <c r="U6" i="13"/>
  <c r="V6" i="13"/>
  <c r="I8" i="13"/>
  <c r="L8" i="13" s="1"/>
  <c r="V8" i="13"/>
  <c r="Y8" i="13" s="1"/>
  <c r="B9" i="13"/>
  <c r="C9" i="13"/>
  <c r="D9" i="13"/>
  <c r="D29" i="13" s="1"/>
  <c r="E9" i="13"/>
  <c r="E29" i="13" s="1"/>
  <c r="F9" i="13"/>
  <c r="G9" i="13"/>
  <c r="H9" i="13"/>
  <c r="I9" i="13"/>
  <c r="O9" i="13"/>
  <c r="P9" i="13"/>
  <c r="Q9" i="13"/>
  <c r="R9" i="13"/>
  <c r="S9" i="13"/>
  <c r="T9" i="13"/>
  <c r="U9" i="13"/>
  <c r="V9" i="13"/>
  <c r="I11" i="13"/>
  <c r="L11" i="13" s="1"/>
  <c r="V11" i="13"/>
  <c r="Y11" i="13" s="1"/>
  <c r="B12" i="13"/>
  <c r="C12" i="13"/>
  <c r="C29" i="13" s="1"/>
  <c r="D12" i="13"/>
  <c r="E12" i="13"/>
  <c r="F12" i="13"/>
  <c r="G12" i="13"/>
  <c r="H12" i="13"/>
  <c r="O12" i="13"/>
  <c r="P12" i="13"/>
  <c r="Q12" i="13"/>
  <c r="R12" i="13"/>
  <c r="S12" i="13"/>
  <c r="T12" i="13"/>
  <c r="U12" i="13"/>
  <c r="V12" i="13"/>
  <c r="I14" i="13"/>
  <c r="L14" i="13"/>
  <c r="V14" i="13"/>
  <c r="Y14" i="13"/>
  <c r="B15" i="13"/>
  <c r="C15" i="13"/>
  <c r="D15" i="13"/>
  <c r="E15" i="13"/>
  <c r="F15" i="13"/>
  <c r="G15" i="13"/>
  <c r="H15" i="13"/>
  <c r="I15" i="13"/>
  <c r="O15" i="13"/>
  <c r="P15" i="13"/>
  <c r="Q15" i="13"/>
  <c r="R15" i="13"/>
  <c r="S15" i="13"/>
  <c r="T15" i="13"/>
  <c r="U15" i="13"/>
  <c r="V15" i="13"/>
  <c r="I17" i="13"/>
  <c r="L17" i="13"/>
  <c r="V17" i="13"/>
  <c r="Y17" i="13"/>
  <c r="B18" i="13"/>
  <c r="C18" i="13"/>
  <c r="D18" i="13"/>
  <c r="E18" i="13"/>
  <c r="F18" i="13"/>
  <c r="G18" i="13"/>
  <c r="H18" i="13"/>
  <c r="I18" i="13"/>
  <c r="O18" i="13"/>
  <c r="P18" i="13"/>
  <c r="Q18" i="13"/>
  <c r="R18" i="13"/>
  <c r="S18" i="13"/>
  <c r="T18" i="13"/>
  <c r="U18" i="13"/>
  <c r="V18" i="13"/>
  <c r="I20" i="13"/>
  <c r="L20" i="13"/>
  <c r="V20" i="13"/>
  <c r="Y20" i="13"/>
  <c r="C21" i="13"/>
  <c r="D21" i="13"/>
  <c r="E21" i="13"/>
  <c r="F21" i="13"/>
  <c r="G21" i="13"/>
  <c r="H21" i="13"/>
  <c r="I21" i="13"/>
  <c r="P21" i="13"/>
  <c r="Q21" i="13"/>
  <c r="R21" i="13"/>
  <c r="S21" i="13"/>
  <c r="T21" i="13"/>
  <c r="U21" i="13"/>
  <c r="V21" i="13"/>
  <c r="I23" i="13"/>
  <c r="L23" i="13"/>
  <c r="V23" i="13"/>
  <c r="Y23" i="13"/>
  <c r="B24" i="13"/>
  <c r="C24" i="13"/>
  <c r="D24" i="13"/>
  <c r="E24" i="13"/>
  <c r="F24" i="13"/>
  <c r="F29" i="13" s="1"/>
  <c r="G24" i="13"/>
  <c r="G29" i="13" s="1"/>
  <c r="H24" i="13"/>
  <c r="H29" i="13" s="1"/>
  <c r="Q19" i="4" s="1"/>
  <c r="I24" i="13"/>
  <c r="O24" i="13"/>
  <c r="O29" i="13" s="1"/>
  <c r="P24" i="13"/>
  <c r="P29" i="13" s="1"/>
  <c r="Q24" i="13"/>
  <c r="Q29" i="13" s="1"/>
  <c r="R24" i="13"/>
  <c r="R29" i="13" s="1"/>
  <c r="S24" i="13"/>
  <c r="S29" i="13" s="1"/>
  <c r="T24" i="13"/>
  <c r="T29" i="13" s="1"/>
  <c r="U24" i="13"/>
  <c r="U29" i="13" s="1"/>
  <c r="Q20" i="4" s="1"/>
  <c r="R20" i="4" s="1"/>
  <c r="V24" i="13"/>
  <c r="V29" i="13" s="1"/>
  <c r="I26" i="13"/>
  <c r="L26" i="13"/>
  <c r="V26" i="13"/>
  <c r="Y26" i="13"/>
  <c r="B27" i="13"/>
  <c r="C27" i="13"/>
  <c r="D27" i="13"/>
  <c r="E27" i="13"/>
  <c r="F27" i="13"/>
  <c r="G27" i="13"/>
  <c r="H27" i="13"/>
  <c r="I27" i="13"/>
  <c r="O27" i="13"/>
  <c r="P27" i="13"/>
  <c r="Q27" i="13"/>
  <c r="R27" i="13"/>
  <c r="S27" i="13"/>
  <c r="V27" i="13"/>
  <c r="K30" i="13"/>
  <c r="X30" i="13"/>
  <c r="B31" i="13"/>
  <c r="C31" i="13"/>
  <c r="D31" i="13"/>
  <c r="E31" i="13"/>
  <c r="F31" i="13"/>
  <c r="G31" i="13"/>
  <c r="A34" i="13"/>
  <c r="A35" i="13"/>
  <c r="B35" i="13"/>
  <c r="C35" i="13"/>
  <c r="D35" i="13" s="1"/>
  <c r="E35" i="13" s="1"/>
  <c r="F35" i="13" s="1"/>
  <c r="G35" i="13" s="1"/>
  <c r="H35" i="13" s="1"/>
  <c r="I36" i="13"/>
  <c r="L36" i="13" s="1"/>
  <c r="B37" i="13"/>
  <c r="C37" i="13"/>
  <c r="D37" i="13"/>
  <c r="E37" i="13"/>
  <c r="F37" i="13"/>
  <c r="G37" i="13"/>
  <c r="I37" i="13"/>
  <c r="I39" i="13"/>
  <c r="L39" i="13"/>
  <c r="B40" i="13"/>
  <c r="C40" i="13"/>
  <c r="D40" i="13"/>
  <c r="E40" i="13"/>
  <c r="F40" i="13"/>
  <c r="G40" i="13"/>
  <c r="I40" i="13"/>
  <c r="I42" i="13"/>
  <c r="L42" i="13"/>
  <c r="B43" i="13"/>
  <c r="C43" i="13"/>
  <c r="D43" i="13"/>
  <c r="E43" i="13"/>
  <c r="F43" i="13"/>
  <c r="G43" i="13"/>
  <c r="I43" i="13"/>
  <c r="I45" i="13"/>
  <c r="L45" i="13"/>
  <c r="B46" i="13"/>
  <c r="C46" i="13"/>
  <c r="D46" i="13"/>
  <c r="E46" i="13"/>
  <c r="F46" i="13"/>
  <c r="G46" i="13"/>
  <c r="I46" i="13"/>
  <c r="I48" i="13"/>
  <c r="L48" i="13" s="1"/>
  <c r="B49" i="13"/>
  <c r="C49" i="13"/>
  <c r="D49" i="13"/>
  <c r="E49" i="13"/>
  <c r="F49" i="13"/>
  <c r="G49" i="13"/>
  <c r="H49" i="13"/>
  <c r="I49" i="13"/>
  <c r="I51" i="13"/>
  <c r="L51" i="13" s="1"/>
  <c r="C52" i="13"/>
  <c r="D52" i="13"/>
  <c r="E52" i="13"/>
  <c r="F52" i="13"/>
  <c r="G52" i="13"/>
  <c r="H52" i="13"/>
  <c r="I52" i="13"/>
  <c r="I54" i="13"/>
  <c r="L54" i="13"/>
  <c r="B55" i="13"/>
  <c r="C55" i="13"/>
  <c r="D55" i="13"/>
  <c r="E55" i="13"/>
  <c r="F55" i="13"/>
  <c r="G55" i="13"/>
  <c r="I55" i="13"/>
  <c r="I57" i="13"/>
  <c r="L57" i="13"/>
  <c r="B58" i="13"/>
  <c r="C58" i="13"/>
  <c r="D58" i="13"/>
  <c r="E58" i="13"/>
  <c r="F58" i="13"/>
  <c r="I58" i="13"/>
  <c r="B60" i="13"/>
  <c r="C60" i="13"/>
  <c r="D60" i="13"/>
  <c r="E60" i="13"/>
  <c r="F60" i="13"/>
  <c r="G60" i="13"/>
  <c r="H60" i="13"/>
  <c r="I60" i="13"/>
  <c r="K61" i="13"/>
  <c r="C3" i="16"/>
  <c r="E3" i="16"/>
  <c r="G3" i="16"/>
  <c r="H3" i="16"/>
  <c r="O3" i="16"/>
  <c r="P3" i="16"/>
  <c r="R3" i="16"/>
  <c r="S3" i="16"/>
  <c r="W3" i="16"/>
  <c r="X3" i="16"/>
  <c r="AC3" i="16"/>
  <c r="AD3" i="16"/>
  <c r="AF3" i="16"/>
  <c r="AG3" i="16"/>
  <c r="AI3" i="16"/>
  <c r="AJ3" i="16"/>
  <c r="AL3" i="16"/>
  <c r="AM3" i="16"/>
  <c r="AQ3" i="16"/>
  <c r="C4" i="16"/>
  <c r="E4" i="16"/>
  <c r="G4" i="16"/>
  <c r="H4" i="16"/>
  <c r="O4" i="16"/>
  <c r="P4" i="16"/>
  <c r="R4" i="16"/>
  <c r="S4" i="16"/>
  <c r="W4" i="16"/>
  <c r="X4" i="16"/>
  <c r="AC4" i="16"/>
  <c r="AD4" i="16"/>
  <c r="AF4" i="16"/>
  <c r="AG4" i="16"/>
  <c r="AI4" i="16"/>
  <c r="AJ4" i="16"/>
  <c r="AL4" i="16"/>
  <c r="AM4" i="16"/>
  <c r="AQ4" i="16"/>
  <c r="C5" i="16"/>
  <c r="E5" i="16"/>
  <c r="G5" i="16"/>
  <c r="H5" i="16"/>
  <c r="O5" i="16"/>
  <c r="P5" i="16"/>
  <c r="R5" i="16"/>
  <c r="S5" i="16"/>
  <c r="W5" i="16"/>
  <c r="X5" i="16"/>
  <c r="AC5" i="16"/>
  <c r="AD5" i="16"/>
  <c r="AF5" i="16"/>
  <c r="AG5" i="16"/>
  <c r="AI5" i="16"/>
  <c r="AJ5" i="16"/>
  <c r="AL5" i="16"/>
  <c r="AM5" i="16"/>
  <c r="AQ5" i="16"/>
  <c r="C6" i="16"/>
  <c r="E6" i="16"/>
  <c r="G6" i="16"/>
  <c r="H6" i="16"/>
  <c r="O6" i="16"/>
  <c r="P6" i="16"/>
  <c r="R6" i="16"/>
  <c r="S6" i="16"/>
  <c r="W6" i="16"/>
  <c r="X6" i="16"/>
  <c r="AC6" i="16"/>
  <c r="AD6" i="16"/>
  <c r="AF6" i="16"/>
  <c r="AG6" i="16"/>
  <c r="AI6" i="16"/>
  <c r="AJ6" i="16"/>
  <c r="AL6" i="16"/>
  <c r="AM6" i="16"/>
  <c r="AQ6" i="16"/>
  <c r="C7" i="16"/>
  <c r="E7" i="16"/>
  <c r="G7" i="16"/>
  <c r="H7" i="16"/>
  <c r="O7" i="16"/>
  <c r="P7" i="16"/>
  <c r="R7" i="16"/>
  <c r="S7" i="16"/>
  <c r="W7" i="16"/>
  <c r="X7" i="16"/>
  <c r="AC7" i="16"/>
  <c r="AD7" i="16"/>
  <c r="AF7" i="16"/>
  <c r="AG7" i="16"/>
  <c r="AI7" i="16"/>
  <c r="AJ7" i="16"/>
  <c r="AL7" i="16"/>
  <c r="AM7" i="16"/>
  <c r="AQ7" i="16"/>
  <c r="C8" i="16"/>
  <c r="E8" i="16"/>
  <c r="G8" i="16"/>
  <c r="H8" i="16"/>
  <c r="O8" i="16"/>
  <c r="P8" i="16"/>
  <c r="R8" i="16"/>
  <c r="S8" i="16"/>
  <c r="W8" i="16"/>
  <c r="X8" i="16"/>
  <c r="AF8" i="16"/>
  <c r="AG8" i="16"/>
  <c r="AI8" i="16"/>
  <c r="AJ8" i="16"/>
  <c r="AL8" i="16"/>
  <c r="AM8" i="16"/>
  <c r="AQ8" i="16"/>
  <c r="P11" i="4" l="1"/>
  <c r="P15" i="4" s="1"/>
  <c r="O11" i="4"/>
  <c r="I12" i="13"/>
  <c r="I29" i="13" s="1"/>
  <c r="B29" i="13"/>
  <c r="Q22" i="4"/>
  <c r="R22" i="4" s="1"/>
  <c r="R19" i="4"/>
  <c r="Y30" i="13"/>
  <c r="L61" i="13"/>
  <c r="L30" i="13"/>
  <c r="O15" i="4" l="1"/>
  <c r="R11" i="4"/>
  <c r="R15" i="4" s="1"/>
</calcChain>
</file>

<file path=xl/sharedStrings.xml><?xml version="1.0" encoding="utf-8"?>
<sst xmlns="http://schemas.openxmlformats.org/spreadsheetml/2006/main" count="192" uniqueCount="111">
  <si>
    <t>PURCHASE ORDER</t>
  </si>
  <si>
    <t>PT. LARA THALIA ABADI</t>
  </si>
  <si>
    <t xml:space="preserve">PO NO </t>
  </si>
  <si>
    <t xml:space="preserve">: </t>
  </si>
  <si>
    <t>EVERBEST TOWER - CENGKARENG BUSINESS CITY TOWER M</t>
  </si>
  <si>
    <t>TRACCE</t>
  </si>
  <si>
    <t>Jl. Atang Sanjaya no. 21 Benda - Tangerang Banten, Indonesia</t>
  </si>
  <si>
    <t xml:space="preserve">DATE </t>
  </si>
  <si>
    <t>PHONE : 021 - 2252 9090</t>
  </si>
  <si>
    <t xml:space="preserve">TO </t>
  </si>
  <si>
    <t>: EDE</t>
  </si>
  <si>
    <t>E-MAIL ADDRESS : arisma@everbestgroup.com</t>
  </si>
  <si>
    <t>DESCRIPTION</t>
  </si>
  <si>
    <t>SUPPLIER CODE</t>
  </si>
  <si>
    <t>LTA ARTICLE</t>
  </si>
  <si>
    <t>COLOUR</t>
  </si>
  <si>
    <t>颜色</t>
  </si>
  <si>
    <t>SIZE RANGE</t>
  </si>
  <si>
    <t>12 SET</t>
  </si>
  <si>
    <t>6 SET</t>
  </si>
  <si>
    <t>QTY PAIRS</t>
  </si>
  <si>
    <t>QTY CARTON</t>
  </si>
  <si>
    <t>UNIT PRICE</t>
  </si>
  <si>
    <t>AMOUNT</t>
  </si>
  <si>
    <t>A</t>
  </si>
  <si>
    <t>B</t>
  </si>
  <si>
    <t>C</t>
  </si>
  <si>
    <t>D</t>
  </si>
  <si>
    <t>E</t>
  </si>
  <si>
    <t>F</t>
  </si>
  <si>
    <t>G</t>
  </si>
  <si>
    <t>H</t>
  </si>
  <si>
    <t>厂编号</t>
  </si>
  <si>
    <t>我司鞋编号</t>
  </si>
  <si>
    <t>US$</t>
  </si>
  <si>
    <t>MAKE SAMPLE</t>
  </si>
  <si>
    <t>Delivery Date</t>
  </si>
  <si>
    <t xml:space="preserve"> 交货日期 </t>
  </si>
  <si>
    <t>ARTICLE NAME</t>
  </si>
  <si>
    <t>COLOR</t>
  </si>
  <si>
    <t>SIZES</t>
  </si>
  <si>
    <t>TOTAL QTY</t>
  </si>
  <si>
    <t xml:space="preserve">LOGO : </t>
  </si>
  <si>
    <t>商标</t>
  </si>
  <si>
    <t>TERM OF PAYMENT:</t>
  </si>
  <si>
    <t>CREDIT</t>
  </si>
  <si>
    <t>CARTON MARK ：</t>
  </si>
  <si>
    <t>( 箱标志 )</t>
  </si>
  <si>
    <t xml:space="preserve">PICTURE ( 图片 ):     </t>
  </si>
  <si>
    <t>SHOE BOX BARCODE :</t>
  </si>
  <si>
    <t>PACKAGING 包装:</t>
  </si>
  <si>
    <t>LINING</t>
  </si>
  <si>
    <t>SHOE MATERIAL CODE</t>
  </si>
  <si>
    <t>QR CODE 二维码:</t>
  </si>
  <si>
    <t>(请贴这些条码在鞋盒按照图片)</t>
  </si>
  <si>
    <t>鞋盒 和 箱子 包法</t>
  </si>
  <si>
    <t>(打印在内里上）</t>
  </si>
  <si>
    <t>鞋子材料贴标</t>
  </si>
  <si>
    <t xml:space="preserve">PACKING LIST PO </t>
  </si>
  <si>
    <t>colly</t>
  </si>
  <si>
    <t>pairs</t>
  </si>
  <si>
    <t>SET A</t>
  </si>
  <si>
    <t>X</t>
  </si>
  <si>
    <t>total A</t>
  </si>
  <si>
    <t>SET B</t>
  </si>
  <si>
    <t>total B</t>
  </si>
  <si>
    <t>SET C</t>
  </si>
  <si>
    <t>total C</t>
  </si>
  <si>
    <t>SET D</t>
  </si>
  <si>
    <t>total D</t>
  </si>
  <si>
    <t>SET E</t>
  </si>
  <si>
    <t>total E</t>
  </si>
  <si>
    <t>SET F</t>
  </si>
  <si>
    <t>total F</t>
  </si>
  <si>
    <t>SET G</t>
  </si>
  <si>
    <t>total G</t>
  </si>
  <si>
    <t>SET H</t>
  </si>
  <si>
    <t>total H</t>
  </si>
  <si>
    <t>total PO qty</t>
  </si>
  <si>
    <t>Jabodetabek</t>
  </si>
  <si>
    <t>Sumatera</t>
  </si>
  <si>
    <t>Kalimantan</t>
  </si>
  <si>
    <t>Lombok</t>
  </si>
  <si>
    <t>Sulawesi</t>
  </si>
  <si>
    <t>EVB SMB (Bekasi)</t>
  </si>
  <si>
    <t>EVB KGM (Jkt)</t>
  </si>
  <si>
    <t>MP</t>
  </si>
  <si>
    <t>Ecomm</t>
  </si>
  <si>
    <t>EB Aeon (Tgr)</t>
  </si>
  <si>
    <t>EB GMB (Bekasi)</t>
  </si>
  <si>
    <t>EB Puri (Jkt)</t>
  </si>
  <si>
    <t>EB Sency (Jkt)</t>
  </si>
  <si>
    <t>EVB SKA (Pekanbaru)</t>
  </si>
  <si>
    <t>EVB CPM (Medan)</t>
  </si>
  <si>
    <t>EB PSQ (Palembang)</t>
  </si>
  <si>
    <t>TR Icon (Palembang)</t>
  </si>
  <si>
    <t>EVB Bumi Raya (Pontianak)</t>
  </si>
  <si>
    <t>EVB SAMARINDA</t>
  </si>
  <si>
    <t>EB Balikpapan</t>
  </si>
  <si>
    <t>TR Lombok</t>
  </si>
  <si>
    <t>EVB Kendari</t>
  </si>
  <si>
    <t>EVB Panakukang (Mks)</t>
  </si>
  <si>
    <t>EVB Mari (Mks)</t>
  </si>
  <si>
    <t>EVB Mantos (Manado)</t>
  </si>
  <si>
    <t>EVB Trans (Mks)</t>
  </si>
  <si>
    <t>35</t>
  </si>
  <si>
    <t>36</t>
  </si>
  <si>
    <t>37</t>
  </si>
  <si>
    <t>38</t>
  </si>
  <si>
    <t>39</t>
  </si>
  <si>
    <t>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</si>
</sst>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[$-13809]dd\ mmmm\ yyyy;@"/>
    <numFmt numFmtId="167" formatCode="_(* #,##0_);_(* \(#,##0\);_(* &quot;-&quot;??_);_(@_)"/>
    <numFmt numFmtId="168" formatCode="0_ "/>
    <numFmt numFmtId="169" formatCode="[$￥-804]#,##0"/>
    <numFmt numFmtId="170" formatCode="[$-409]d\-mmm\-yy;@"/>
    <numFmt numFmtId="171" formatCode="#,##0.0"/>
    <numFmt numFmtId="172" formatCode="_(&quot;$&quot;* #,##0_);_(&quot;$&quot;* \(#,##0\);_(&quot;$&quot;* &quot;-&quot;??_);_(@_)"/>
  </numFmts>
  <fonts count="69">
    <font>
      <sz val="10"/>
      <name val="Arial"/>
      <family val="2"/>
    </font>
    <font>
      <sz val="14"/>
      <name val="Arial"/>
      <family val="2"/>
    </font>
    <font>
      <b/>
      <sz val="10"/>
      <name val="Arial"/>
      <family val="2"/>
    </font>
    <font>
      <sz val="11"/>
      <name val="Trebuchet MS"/>
      <family val="2"/>
    </font>
    <font>
      <b/>
      <sz val="14"/>
      <name val="Arial"/>
      <family val="2"/>
    </font>
    <font>
      <sz val="18"/>
      <color indexed="9"/>
      <name val="Trebuchet MS"/>
      <family val="2"/>
    </font>
    <font>
      <b/>
      <sz val="18"/>
      <name val="Arial"/>
      <family val="2"/>
    </font>
    <font>
      <b/>
      <sz val="16"/>
      <name val="Trebuchet MS"/>
      <family val="2"/>
    </font>
    <font>
      <b/>
      <sz val="16"/>
      <color indexed="16"/>
      <name val="Arial"/>
      <family val="2"/>
    </font>
    <font>
      <b/>
      <sz val="12"/>
      <color indexed="18"/>
      <name val="Trebuchet MS"/>
      <family val="2"/>
    </font>
    <font>
      <b/>
      <sz val="12"/>
      <name val="Trebuchet MS"/>
      <family val="2"/>
    </font>
    <font>
      <sz val="10"/>
      <name val="Trebuchet MS"/>
      <family val="2"/>
    </font>
    <font>
      <b/>
      <sz val="14"/>
      <color indexed="9"/>
      <name val="Century Gothic"/>
      <family val="2"/>
    </font>
    <font>
      <b/>
      <sz val="11"/>
      <name val="Arial"/>
      <family val="2"/>
    </font>
    <font>
      <b/>
      <sz val="11"/>
      <name val="Trebuchet MS"/>
      <family val="2"/>
    </font>
    <font>
      <b/>
      <sz val="14"/>
      <name val="Trebuchet MS"/>
      <family val="2"/>
    </font>
    <font>
      <b/>
      <sz val="20"/>
      <name val="Trebuchet MS"/>
      <family val="2"/>
    </font>
    <font>
      <sz val="12"/>
      <name val="Trebuchet MS"/>
      <family val="2"/>
    </font>
    <font>
      <sz val="11"/>
      <color indexed="10"/>
      <name val="Trebuchet MS"/>
      <family val="2"/>
    </font>
    <font>
      <b/>
      <sz val="11"/>
      <color indexed="10"/>
      <name val="Trebuchet MS"/>
      <family val="2"/>
    </font>
    <font>
      <b/>
      <sz val="36"/>
      <color indexed="10"/>
      <name val="Trebuchet MS"/>
      <family val="2"/>
    </font>
    <font>
      <b/>
      <sz val="18"/>
      <name val="Trebuchet MS"/>
      <family val="2"/>
    </font>
    <font>
      <b/>
      <sz val="10"/>
      <name val="Trebuchet MS"/>
      <family val="2"/>
    </font>
    <font>
      <b/>
      <sz val="12"/>
      <name val="Century Gothic"/>
      <family val="2"/>
    </font>
    <font>
      <sz val="16"/>
      <name val="Arial"/>
      <family val="2"/>
    </font>
    <font>
      <b/>
      <sz val="13"/>
      <name val="Trebuchet MS"/>
      <family val="2"/>
    </font>
    <font>
      <b/>
      <sz val="11"/>
      <color indexed="36"/>
      <name val="Trebuchet MS"/>
      <family val="2"/>
    </font>
    <font>
      <sz val="9"/>
      <name val="Trebuchet MS"/>
      <family val="2"/>
    </font>
    <font>
      <b/>
      <sz val="12"/>
      <color indexed="16"/>
      <name val="Trebuchet MS"/>
      <family val="2"/>
    </font>
    <font>
      <sz val="9"/>
      <name val="Arial"/>
      <family val="2"/>
    </font>
    <font>
      <sz val="11"/>
      <name val="Arial"/>
      <family val="2"/>
    </font>
    <font>
      <b/>
      <sz val="14"/>
      <name val="Comic Sans MS"/>
      <family val="4"/>
    </font>
    <font>
      <b/>
      <sz val="16"/>
      <name val="Century Gothic"/>
      <family val="2"/>
    </font>
    <font>
      <b/>
      <sz val="14"/>
      <name val="Century Gothic"/>
      <family val="2"/>
    </font>
    <font>
      <b/>
      <sz val="9"/>
      <color indexed="10"/>
      <name val="Trebuchet MS"/>
      <family val="2"/>
    </font>
    <font>
      <sz val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60"/>
      <name val="Calibri"/>
      <family val="2"/>
    </font>
    <font>
      <b/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17"/>
      <name val="宋体"/>
    </font>
    <font>
      <sz val="11"/>
      <color indexed="20"/>
      <name val="Calibri"/>
      <family val="2"/>
    </font>
    <font>
      <sz val="11"/>
      <color indexed="20"/>
      <name val="宋体"/>
    </font>
    <font>
      <b/>
      <sz val="18"/>
      <color indexed="56"/>
      <name val="Cambria"/>
      <family val="1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8"/>
      <color indexed="56"/>
      <name val="宋体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i/>
      <sz val="11"/>
      <color indexed="23"/>
      <name val="Calibri"/>
      <family val="2"/>
    </font>
    <font>
      <sz val="11"/>
      <color indexed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0"/>
      <color theme="0"/>
      <name val="Arial"/>
      <family val="2"/>
    </font>
    <font>
      <b/>
      <sz val="10"/>
      <color rgb="FFFF0000"/>
      <name val="Arial"/>
      <family val="2"/>
    </font>
    <font>
      <b/>
      <sz val="14"/>
      <color rgb="FFFF0000"/>
      <name val="Trebuchet MS"/>
      <family val="2"/>
    </font>
    <font>
      <b/>
      <sz val="12"/>
      <color rgb="FFFF0000"/>
      <name val="Trebuchet MS"/>
      <family val="2"/>
    </font>
    <font>
      <b/>
      <sz val="14"/>
      <color rgb="FFFF0000"/>
      <name val="Arial"/>
      <family val="2"/>
    </font>
    <font>
      <b/>
      <sz val="16"/>
      <color rgb="FFFF0000"/>
      <name val="Arial"/>
      <family val="2"/>
    </font>
    <font>
      <b/>
      <sz val="10"/>
      <color rgb="FFFF0000"/>
      <name val="Trebuchet MS"/>
      <family val="2"/>
    </font>
    <font>
      <b/>
      <sz val="11"/>
      <color rgb="FFFF0000"/>
      <name val="Trebuchet MS"/>
      <family val="2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0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medium">
        <color indexed="64"/>
      </left>
      <right/>
      <top/>
      <bottom style="dashed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/>
      <right/>
      <top/>
      <bottom style="dashed">
        <color indexed="64"/>
      </bottom>
      <diagonal/>
    </border>
    <border>
      <left/>
      <right style="medium">
        <color indexed="64"/>
      </right>
      <top/>
      <bottom style="dashed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6">
    <xf numFmtId="0" fontId="0" fillId="0" borderId="0"/>
    <xf numFmtId="0" fontId="36" fillId="3" borderId="0" applyNumberFormat="0" applyBorder="0" applyAlignment="0" applyProtection="0"/>
    <xf numFmtId="0" fontId="36" fillId="4" borderId="0" applyNumberFormat="0" applyBorder="0" applyAlignment="0" applyProtection="0"/>
    <xf numFmtId="0" fontId="36" fillId="5" borderId="0" applyNumberFormat="0" applyBorder="0" applyAlignment="0" applyProtection="0"/>
    <xf numFmtId="0" fontId="36" fillId="6" borderId="0" applyNumberFormat="0" applyBorder="0" applyAlignment="0" applyProtection="0"/>
    <xf numFmtId="0" fontId="36" fillId="7" borderId="0" applyNumberFormat="0" applyBorder="0" applyAlignment="0" applyProtection="0"/>
    <xf numFmtId="0" fontId="36" fillId="2" borderId="0" applyNumberFormat="0" applyBorder="0" applyAlignment="0" applyProtection="0"/>
    <xf numFmtId="0" fontId="36" fillId="9" borderId="0" applyNumberFormat="0" applyBorder="0" applyAlignment="0" applyProtection="0"/>
    <xf numFmtId="0" fontId="36" fillId="10" borderId="0" applyNumberFormat="0" applyBorder="0" applyAlignment="0" applyProtection="0"/>
    <xf numFmtId="0" fontId="36" fillId="11" borderId="0" applyNumberFormat="0" applyBorder="0" applyAlignment="0" applyProtection="0"/>
    <xf numFmtId="0" fontId="36" fillId="6" borderId="0" applyNumberFormat="0" applyBorder="0" applyAlignment="0" applyProtection="0"/>
    <xf numFmtId="0" fontId="36" fillId="9" borderId="0" applyNumberFormat="0" applyBorder="0" applyAlignment="0" applyProtection="0"/>
    <xf numFmtId="0" fontId="36" fillId="12" borderId="0" applyNumberFormat="0" applyBorder="0" applyAlignment="0" applyProtection="0"/>
    <xf numFmtId="0" fontId="37" fillId="14" borderId="0" applyNumberFormat="0" applyBorder="0" applyAlignment="0" applyProtection="0"/>
    <xf numFmtId="0" fontId="37" fillId="10" borderId="0" applyNumberFormat="0" applyBorder="0" applyAlignment="0" applyProtection="0"/>
    <xf numFmtId="0" fontId="37" fillId="11" borderId="0" applyNumberFormat="0" applyBorder="0" applyAlignment="0" applyProtection="0"/>
    <xf numFmtId="0" fontId="37" fillId="15" borderId="0" applyNumberFormat="0" applyBorder="0" applyAlignment="0" applyProtection="0"/>
    <xf numFmtId="0" fontId="37" fillId="13" borderId="0" applyNumberFormat="0" applyBorder="0" applyAlignment="0" applyProtection="0"/>
    <xf numFmtId="0" fontId="37" fillId="16" borderId="0" applyNumberFormat="0" applyBorder="0" applyAlignment="0" applyProtection="0"/>
    <xf numFmtId="165" fontId="56" fillId="0" borderId="0" applyFont="0" applyFill="0" applyBorder="0" applyAlignment="0" applyProtection="0"/>
    <xf numFmtId="165" fontId="56" fillId="0" borderId="0" applyFont="0" applyFill="0" applyBorder="0" applyAlignment="0" applyProtection="0"/>
    <xf numFmtId="165" fontId="58" fillId="0" borderId="0" applyFont="0" applyFill="0" applyBorder="0" applyAlignment="0" applyProtection="0"/>
    <xf numFmtId="164" fontId="56" fillId="0" borderId="0" applyFont="0" applyFill="0" applyBorder="0" applyAlignment="0" applyProtection="0"/>
    <xf numFmtId="0" fontId="56" fillId="0" borderId="0"/>
    <xf numFmtId="0" fontId="57" fillId="0" borderId="0"/>
    <xf numFmtId="0" fontId="57" fillId="0" borderId="0"/>
    <xf numFmtId="0" fontId="57" fillId="0" borderId="0"/>
    <xf numFmtId="0" fontId="56" fillId="0" borderId="0"/>
    <xf numFmtId="166" fontId="57" fillId="0" borderId="0"/>
    <xf numFmtId="0" fontId="56" fillId="0" borderId="0"/>
    <xf numFmtId="0" fontId="57" fillId="0" borderId="0"/>
    <xf numFmtId="0" fontId="57" fillId="0" borderId="0"/>
    <xf numFmtId="0" fontId="56" fillId="0" borderId="0"/>
    <xf numFmtId="0" fontId="56" fillId="0" borderId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42" fillId="5" borderId="0" applyNumberFormat="0" applyBorder="0" applyAlignment="0" applyProtection="0"/>
    <xf numFmtId="0" fontId="43" fillId="5" borderId="0" applyNumberFormat="0" applyBorder="0" applyAlignment="0" applyProtection="0">
      <alignment vertical="center"/>
    </xf>
    <xf numFmtId="0" fontId="44" fillId="4" borderId="0" applyNumberFormat="0" applyBorder="0" applyAlignment="0" applyProtection="0"/>
    <xf numFmtId="0" fontId="45" fillId="4" borderId="0" applyNumberFormat="0" applyBorder="0" applyAlignment="0" applyProtection="0">
      <alignment vertical="center"/>
    </xf>
    <xf numFmtId="0" fontId="37" fillId="20" borderId="0" applyNumberFormat="0" applyBorder="0" applyAlignment="0" applyProtection="0"/>
    <xf numFmtId="0" fontId="37" fillId="21" borderId="0" applyNumberFormat="0" applyBorder="0" applyAlignment="0" applyProtection="0"/>
    <xf numFmtId="0" fontId="37" fillId="22" borderId="0" applyNumberFormat="0" applyBorder="0" applyAlignment="0" applyProtection="0"/>
    <xf numFmtId="0" fontId="37" fillId="15" borderId="0" applyNumberFormat="0" applyBorder="0" applyAlignment="0" applyProtection="0"/>
    <xf numFmtId="0" fontId="37" fillId="13" borderId="0" applyNumberFormat="0" applyBorder="0" applyAlignment="0" applyProtection="0"/>
    <xf numFmtId="0" fontId="37" fillId="23" borderId="0" applyNumberFormat="0" applyBorder="0" applyAlignment="0" applyProtection="0"/>
    <xf numFmtId="0" fontId="46" fillId="0" borderId="0" applyNumberFormat="0" applyFill="0" applyBorder="0" applyAlignment="0" applyProtection="0"/>
    <xf numFmtId="0" fontId="47" fillId="0" borderId="7" applyNumberFormat="0" applyFill="0" applyAlignment="0" applyProtection="0"/>
    <xf numFmtId="0" fontId="48" fillId="0" borderId="3" applyNumberFormat="0" applyFill="0" applyAlignment="0" applyProtection="0"/>
    <xf numFmtId="0" fontId="41" fillId="0" borderId="8" applyNumberFormat="0" applyFill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center"/>
    </xf>
    <xf numFmtId="0" fontId="50" fillId="17" borderId="2" applyNumberFormat="0" applyAlignment="0" applyProtection="0"/>
    <xf numFmtId="0" fontId="51" fillId="0" borderId="9" applyNumberFormat="0" applyFill="0" applyAlignment="0" applyProtection="0"/>
    <xf numFmtId="0" fontId="51" fillId="0" borderId="9" applyNumberFormat="0" applyFill="0" applyAlignment="0" applyProtection="0"/>
    <xf numFmtId="0" fontId="56" fillId="18" borderId="5" applyNumberFormat="0" applyFont="0" applyAlignment="0" applyProtection="0"/>
    <xf numFmtId="0" fontId="56" fillId="18" borderId="5" applyNumberFormat="0" applyFont="0" applyAlignment="0" applyProtection="0"/>
    <xf numFmtId="0" fontId="56" fillId="18" borderId="5" applyNumberFormat="0" applyFont="0" applyAlignment="0" applyProtection="0"/>
    <xf numFmtId="0" fontId="52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9" fillId="8" borderId="1" applyNumberFormat="0" applyAlignment="0" applyProtection="0"/>
    <xf numFmtId="0" fontId="54" fillId="2" borderId="1" applyNumberFormat="0" applyAlignment="0" applyProtection="0"/>
    <xf numFmtId="0" fontId="40" fillId="8" borderId="6" applyNumberFormat="0" applyAlignment="0" applyProtection="0"/>
    <xf numFmtId="0" fontId="40" fillId="8" borderId="6" applyNumberFormat="0" applyAlignment="0" applyProtection="0"/>
    <xf numFmtId="0" fontId="38" fillId="19" borderId="0" applyNumberFormat="0" applyBorder="0" applyAlignment="0" applyProtection="0"/>
    <xf numFmtId="0" fontId="55" fillId="0" borderId="4" applyNumberFormat="0" applyFill="0" applyAlignment="0" applyProtection="0"/>
  </cellStyleXfs>
  <cellXfs count="365">
    <xf numFmtId="0" fontId="0" fillId="0" borderId="0" xfId="0"/>
    <xf numFmtId="3" fontId="59" fillId="25" borderId="10" xfId="0" applyNumberFormat="1" applyFont="1" applyFill="1" applyBorder="1" applyAlignment="1">
      <alignment horizontal="center" vertical="center"/>
    </xf>
    <xf numFmtId="3" fontId="59" fillId="25" borderId="11" xfId="0" applyNumberFormat="1" applyFont="1" applyFill="1" applyBorder="1" applyAlignment="1">
      <alignment horizontal="center" vertical="center"/>
    </xf>
    <xf numFmtId="3" fontId="59" fillId="25" borderId="12" xfId="0" applyNumberFormat="1" applyFont="1" applyFill="1" applyBorder="1" applyAlignment="1">
      <alignment horizontal="center" vertical="center"/>
    </xf>
    <xf numFmtId="3" fontId="60" fillId="24" borderId="13" xfId="0" applyNumberFormat="1" applyFont="1" applyFill="1" applyBorder="1" applyAlignment="1">
      <alignment horizontal="center" vertical="center"/>
    </xf>
    <xf numFmtId="3" fontId="60" fillId="24" borderId="14" xfId="0" applyNumberFormat="1" applyFont="1" applyFill="1" applyBorder="1" applyAlignment="1">
      <alignment horizontal="center" vertical="center"/>
    </xf>
    <xf numFmtId="9" fontId="60" fillId="24" borderId="15" xfId="34" applyFont="1" applyFill="1" applyBorder="1" applyAlignment="1">
      <alignment horizontal="center" vertical="center"/>
    </xf>
    <xf numFmtId="3" fontId="60" fillId="24" borderId="16" xfId="0" applyNumberFormat="1" applyFont="1" applyFill="1" applyBorder="1" applyAlignment="1">
      <alignment horizontal="center" vertical="center"/>
    </xf>
    <xf numFmtId="9" fontId="60" fillId="24" borderId="16" xfId="34" applyFont="1" applyFill="1" applyBorder="1" applyAlignment="1">
      <alignment horizontal="center" vertical="center"/>
    </xf>
    <xf numFmtId="3" fontId="60" fillId="24" borderId="17" xfId="0" applyNumberFormat="1" applyFont="1" applyFill="1" applyBorder="1" applyAlignment="1">
      <alignment horizontal="center" vertical="center"/>
    </xf>
    <xf numFmtId="3" fontId="60" fillId="24" borderId="18" xfId="0" applyNumberFormat="1" applyFont="1" applyFill="1" applyBorder="1" applyAlignment="1">
      <alignment horizontal="center" vertical="center"/>
    </xf>
    <xf numFmtId="3" fontId="60" fillId="24" borderId="19" xfId="0" applyNumberFormat="1" applyFont="1" applyFill="1" applyBorder="1" applyAlignment="1">
      <alignment horizontal="center" vertical="center"/>
    </xf>
    <xf numFmtId="3" fontId="60" fillId="24" borderId="20" xfId="0" applyNumberFormat="1" applyFont="1" applyFill="1" applyBorder="1" applyAlignment="1">
      <alignment horizontal="center" vertical="center"/>
    </xf>
    <xf numFmtId="3" fontId="60" fillId="24" borderId="21" xfId="0" applyNumberFormat="1" applyFont="1" applyFill="1" applyBorder="1" applyAlignment="1">
      <alignment horizontal="center" vertical="center"/>
    </xf>
    <xf numFmtId="3" fontId="60" fillId="24" borderId="22" xfId="0" applyNumberFormat="1" applyFont="1" applyFill="1" applyBorder="1" applyAlignment="1">
      <alignment horizontal="center" vertical="center"/>
    </xf>
    <xf numFmtId="3" fontId="59" fillId="25" borderId="23" xfId="0" applyNumberFormat="1" applyFont="1" applyFill="1" applyBorder="1" applyAlignment="1">
      <alignment horizontal="center" vertical="center"/>
    </xf>
    <xf numFmtId="3" fontId="60" fillId="24" borderId="15" xfId="0" applyNumberFormat="1" applyFont="1" applyFill="1" applyBorder="1" applyAlignment="1">
      <alignment horizontal="center" vertical="center"/>
    </xf>
    <xf numFmtId="167" fontId="60" fillId="24" borderId="15" xfId="19" applyNumberFormat="1" applyFont="1" applyFill="1" applyBorder="1" applyAlignment="1">
      <alignment horizontal="center" vertical="center"/>
    </xf>
    <xf numFmtId="3" fontId="60" fillId="24" borderId="24" xfId="0" applyNumberFormat="1" applyFont="1" applyFill="1" applyBorder="1" applyAlignment="1">
      <alignment horizontal="center" vertical="center"/>
    </xf>
    <xf numFmtId="3" fontId="60" fillId="24" borderId="25" xfId="0" applyNumberFormat="1" applyFont="1" applyFill="1" applyBorder="1" applyAlignment="1">
      <alignment horizontal="center" vertical="center"/>
    </xf>
    <xf numFmtId="3" fontId="59" fillId="25" borderId="26" xfId="0" applyNumberFormat="1" applyFont="1" applyFill="1" applyBorder="1" applyAlignment="1">
      <alignment horizontal="center" vertical="center"/>
    </xf>
    <xf numFmtId="3" fontId="59" fillId="25" borderId="27" xfId="0" applyNumberFormat="1" applyFont="1" applyFill="1" applyBorder="1" applyAlignment="1">
      <alignment horizontal="center" vertical="center"/>
    </xf>
    <xf numFmtId="167" fontId="60" fillId="24" borderId="16" xfId="19" applyNumberFormat="1" applyFont="1" applyFill="1" applyBorder="1" applyAlignment="1">
      <alignment horizontal="center" vertical="center"/>
    </xf>
    <xf numFmtId="3" fontId="60" fillId="24" borderId="28" xfId="0" applyNumberFormat="1" applyFont="1" applyFill="1" applyBorder="1" applyAlignment="1">
      <alignment horizontal="center" vertical="center"/>
    </xf>
    <xf numFmtId="3" fontId="60" fillId="24" borderId="29" xfId="0" applyNumberFormat="1" applyFont="1" applyFill="1" applyBorder="1" applyAlignment="1">
      <alignment horizontal="center" vertical="center"/>
    </xf>
    <xf numFmtId="3" fontId="60" fillId="24" borderId="30" xfId="0" applyNumberFormat="1" applyFont="1" applyFill="1" applyBorder="1" applyAlignment="1">
      <alignment horizontal="center" vertical="center"/>
    </xf>
    <xf numFmtId="3" fontId="60" fillId="24" borderId="31" xfId="0" applyNumberFormat="1" applyFont="1" applyFill="1" applyBorder="1" applyAlignment="1">
      <alignment horizontal="center" vertical="center"/>
    </xf>
    <xf numFmtId="3" fontId="60" fillId="24" borderId="32" xfId="0" applyNumberFormat="1" applyFont="1" applyFill="1" applyBorder="1" applyAlignment="1">
      <alignment horizontal="center" vertical="center"/>
    </xf>
    <xf numFmtId="3" fontId="60" fillId="24" borderId="33" xfId="0" applyNumberFormat="1" applyFont="1" applyFill="1" applyBorder="1" applyAlignment="1">
      <alignment horizontal="center" vertical="center"/>
    </xf>
    <xf numFmtId="3" fontId="59" fillId="25" borderId="34" xfId="0" applyNumberFormat="1" applyFont="1" applyFill="1" applyBorder="1" applyAlignment="1">
      <alignment horizontal="center" vertical="center"/>
    </xf>
    <xf numFmtId="3" fontId="59" fillId="25" borderId="35" xfId="0" applyNumberFormat="1" applyFont="1" applyFill="1" applyBorder="1" applyAlignment="1">
      <alignment horizontal="center" vertical="center"/>
    </xf>
    <xf numFmtId="3" fontId="60" fillId="24" borderId="36" xfId="0" applyNumberFormat="1" applyFont="1" applyFill="1" applyBorder="1" applyAlignment="1">
      <alignment horizontal="center" vertical="center"/>
    </xf>
    <xf numFmtId="3" fontId="60" fillId="24" borderId="37" xfId="0" applyNumberFormat="1" applyFont="1" applyFill="1" applyBorder="1" applyAlignment="1">
      <alignment horizontal="center" vertical="center"/>
    </xf>
    <xf numFmtId="3" fontId="60" fillId="24" borderId="38" xfId="0" applyNumberFormat="1" applyFont="1" applyFill="1" applyBorder="1" applyAlignment="1">
      <alignment horizontal="center" vertical="center"/>
    </xf>
    <xf numFmtId="3" fontId="60" fillId="24" borderId="34" xfId="0" applyNumberFormat="1" applyFont="1" applyFill="1" applyBorder="1" applyAlignment="1">
      <alignment horizontal="center" vertical="center"/>
    </xf>
    <xf numFmtId="3" fontId="60" fillId="24" borderId="39" xfId="0" applyNumberFormat="1" applyFont="1" applyFill="1" applyBorder="1" applyAlignment="1">
      <alignment horizontal="center" vertical="center"/>
    </xf>
    <xf numFmtId="3" fontId="60" fillId="24" borderId="40" xfId="0" applyNumberFormat="1" applyFont="1" applyFill="1" applyBorder="1" applyAlignment="1">
      <alignment horizontal="center" vertical="center"/>
    </xf>
    <xf numFmtId="168" fontId="0" fillId="0" borderId="0" xfId="0" applyNumberFormat="1"/>
    <xf numFmtId="9" fontId="60" fillId="24" borderId="28" xfId="34" applyFont="1" applyFill="1" applyBorder="1" applyAlignment="1">
      <alignment horizontal="center" vertical="center"/>
    </xf>
    <xf numFmtId="3" fontId="0" fillId="0" borderId="0" xfId="0" applyNumberFormat="1"/>
    <xf numFmtId="9" fontId="0" fillId="0" borderId="0" xfId="34" applyFont="1"/>
    <xf numFmtId="167" fontId="0" fillId="0" borderId="0" xfId="19" applyNumberFormat="1" applyFont="1"/>
    <xf numFmtId="167" fontId="56" fillId="26" borderId="0" xfId="19" applyNumberFormat="1" applyFill="1"/>
    <xf numFmtId="0" fontId="0" fillId="26" borderId="0" xfId="0" applyFill="1"/>
    <xf numFmtId="0" fontId="61" fillId="26" borderId="0" xfId="0" applyFont="1" applyFill="1"/>
    <xf numFmtId="0" fontId="1" fillId="26" borderId="0" xfId="0" applyFont="1" applyFill="1"/>
    <xf numFmtId="0" fontId="0" fillId="26" borderId="0" xfId="0" applyFill="1" applyAlignment="1">
      <alignment horizontal="center"/>
    </xf>
    <xf numFmtId="0" fontId="1" fillId="26" borderId="0" xfId="0" applyFont="1" applyFill="1" applyAlignment="1">
      <alignment horizontal="left"/>
    </xf>
    <xf numFmtId="0" fontId="1" fillId="26" borderId="0" xfId="0" applyFont="1" applyFill="1" applyAlignment="1">
      <alignment horizontal="center"/>
    </xf>
    <xf numFmtId="0" fontId="2" fillId="27" borderId="15" xfId="0" applyFont="1" applyFill="1" applyBorder="1" applyAlignment="1">
      <alignment horizontal="center"/>
    </xf>
    <xf numFmtId="0" fontId="2" fillId="26" borderId="13" xfId="0" applyFont="1" applyFill="1" applyBorder="1" applyAlignment="1">
      <alignment horizontal="center"/>
    </xf>
    <xf numFmtId="167" fontId="56" fillId="26" borderId="41" xfId="19" applyNumberFormat="1" applyFill="1" applyBorder="1" applyAlignment="1">
      <alignment horizontal="center"/>
    </xf>
    <xf numFmtId="167" fontId="56" fillId="26" borderId="0" xfId="19" applyNumberFormat="1" applyFill="1" applyAlignment="1">
      <alignment horizontal="center"/>
    </xf>
    <xf numFmtId="167" fontId="56" fillId="26" borderId="15" xfId="19" applyNumberFormat="1" applyFill="1" applyBorder="1" applyAlignment="1">
      <alignment horizontal="center"/>
    </xf>
    <xf numFmtId="167" fontId="56" fillId="26" borderId="13" xfId="19" applyNumberFormat="1" applyFill="1" applyBorder="1" applyAlignment="1">
      <alignment horizontal="center"/>
    </xf>
    <xf numFmtId="167" fontId="56" fillId="26" borderId="42" xfId="19" applyNumberFormat="1" applyFill="1" applyBorder="1" applyAlignment="1">
      <alignment horizontal="center"/>
    </xf>
    <xf numFmtId="167" fontId="62" fillId="26" borderId="43" xfId="19" applyNumberFormat="1" applyFont="1" applyFill="1" applyBorder="1" applyAlignment="1">
      <alignment horizontal="center"/>
    </xf>
    <xf numFmtId="167" fontId="0" fillId="26" borderId="0" xfId="0" applyNumberFormat="1" applyFill="1"/>
    <xf numFmtId="165" fontId="2" fillId="27" borderId="15" xfId="19" applyFont="1" applyFill="1" applyBorder="1" applyAlignment="1">
      <alignment horizontal="center"/>
    </xf>
    <xf numFmtId="0" fontId="0" fillId="26" borderId="28" xfId="0" applyFill="1" applyBorder="1"/>
    <xf numFmtId="167" fontId="56" fillId="26" borderId="43" xfId="19" applyNumberFormat="1" applyFill="1" applyBorder="1" applyAlignment="1">
      <alignment horizontal="center"/>
    </xf>
    <xf numFmtId="167" fontId="56" fillId="26" borderId="0" xfId="19" applyNumberFormat="1" applyFill="1" applyBorder="1" applyAlignment="1">
      <alignment horizontal="center"/>
    </xf>
    <xf numFmtId="167" fontId="56" fillId="26" borderId="0" xfId="19" applyNumberFormat="1" applyFill="1" applyBorder="1" applyAlignment="1">
      <alignment horizontal="right"/>
    </xf>
    <xf numFmtId="167" fontId="61" fillId="26" borderId="0" xfId="19" applyNumberFormat="1" applyFont="1" applyFill="1"/>
    <xf numFmtId="167" fontId="56" fillId="26" borderId="0" xfId="19" applyNumberFormat="1" applyFill="1" applyAlignment="1">
      <alignment horizontal="right"/>
    </xf>
    <xf numFmtId="167" fontId="56" fillId="26" borderId="28" xfId="19" applyNumberFormat="1" applyFill="1" applyBorder="1" applyAlignment="1">
      <alignment horizontal="center"/>
    </xf>
    <xf numFmtId="167" fontId="56" fillId="26" borderId="28" xfId="19" applyNumberFormat="1" applyFill="1" applyBorder="1"/>
    <xf numFmtId="167" fontId="62" fillId="26" borderId="0" xfId="0" applyNumberFormat="1" applyFont="1" applyFill="1" applyAlignment="1">
      <alignment horizontal="right"/>
    </xf>
    <xf numFmtId="167" fontId="56" fillId="26" borderId="0" xfId="19" applyNumberFormat="1" applyFill="1" applyBorder="1"/>
    <xf numFmtId="167" fontId="62" fillId="26" borderId="0" xfId="19" applyNumberFormat="1" applyFont="1" applyFill="1" applyAlignment="1">
      <alignment horizontal="right"/>
    </xf>
    <xf numFmtId="0" fontId="62" fillId="26" borderId="0" xfId="0" applyFont="1" applyFill="1" applyAlignment="1">
      <alignment horizontal="right"/>
    </xf>
    <xf numFmtId="0" fontId="0" fillId="26" borderId="0" xfId="0" applyFill="1" applyAlignment="1">
      <alignment vertical="center"/>
    </xf>
    <xf numFmtId="0" fontId="3" fillId="26" borderId="0" xfId="0" applyFont="1" applyFill="1" applyAlignment="1">
      <alignment vertical="center"/>
    </xf>
    <xf numFmtId="0" fontId="0" fillId="26" borderId="0" xfId="0" applyFill="1" applyAlignment="1">
      <alignment horizontal="center" vertical="center"/>
    </xf>
    <xf numFmtId="165" fontId="56" fillId="26" borderId="0" xfId="19" applyFont="1" applyFill="1" applyAlignment="1">
      <alignment vertical="center"/>
    </xf>
    <xf numFmtId="169" fontId="56" fillId="26" borderId="0" xfId="19" applyNumberFormat="1" applyFont="1" applyFill="1" applyAlignment="1">
      <alignment vertical="center"/>
    </xf>
    <xf numFmtId="0" fontId="4" fillId="26" borderId="0" xfId="0" applyFont="1" applyFill="1" applyAlignment="1">
      <alignment vertical="center"/>
    </xf>
    <xf numFmtId="0" fontId="6" fillId="26" borderId="0" xfId="0" applyFont="1" applyFill="1" applyAlignment="1">
      <alignment horizontal="center" vertical="center"/>
    </xf>
    <xf numFmtId="0" fontId="6" fillId="26" borderId="0" xfId="0" applyFont="1" applyFill="1" applyAlignment="1">
      <alignment vertical="center"/>
    </xf>
    <xf numFmtId="0" fontId="7" fillId="28" borderId="44" xfId="0" applyFont="1" applyFill="1" applyBorder="1" applyAlignment="1">
      <alignment vertical="center"/>
    </xf>
    <xf numFmtId="0" fontId="7" fillId="28" borderId="45" xfId="0" applyFont="1" applyFill="1" applyBorder="1" applyAlignment="1">
      <alignment vertical="center"/>
    </xf>
    <xf numFmtId="0" fontId="7" fillId="28" borderId="46" xfId="0" applyFont="1" applyFill="1" applyBorder="1" applyAlignment="1">
      <alignment vertical="center"/>
    </xf>
    <xf numFmtId="0" fontId="8" fillId="26" borderId="0" xfId="0" applyFont="1" applyFill="1" applyAlignment="1">
      <alignment horizontal="left" vertical="center"/>
    </xf>
    <xf numFmtId="0" fontId="10" fillId="28" borderId="47" xfId="0" applyFont="1" applyFill="1" applyBorder="1" applyAlignment="1">
      <alignment vertical="center"/>
    </xf>
    <xf numFmtId="170" fontId="10" fillId="28" borderId="0" xfId="0" applyNumberFormat="1" applyFont="1" applyFill="1" applyAlignment="1">
      <alignment vertical="center"/>
    </xf>
    <xf numFmtId="0" fontId="11" fillId="28" borderId="48" xfId="0" applyFont="1" applyFill="1" applyBorder="1" applyAlignment="1">
      <alignment vertical="center"/>
    </xf>
    <xf numFmtId="170" fontId="10" fillId="28" borderId="48" xfId="0" applyNumberFormat="1" applyFont="1" applyFill="1" applyBorder="1" applyAlignment="1">
      <alignment vertical="center"/>
    </xf>
    <xf numFmtId="0" fontId="13" fillId="26" borderId="0" xfId="0" applyFont="1" applyFill="1" applyAlignment="1">
      <alignment horizontal="center" vertical="center" wrapText="1"/>
    </xf>
    <xf numFmtId="0" fontId="10" fillId="28" borderId="49" xfId="0" applyFont="1" applyFill="1" applyBorder="1" applyAlignment="1">
      <alignment vertical="center"/>
    </xf>
    <xf numFmtId="0" fontId="10" fillId="26" borderId="26" xfId="0" applyFont="1" applyFill="1" applyBorder="1" applyAlignment="1">
      <alignment horizontal="center" vertical="center"/>
    </xf>
    <xf numFmtId="0" fontId="10" fillId="26" borderId="12" xfId="0" applyFont="1" applyFill="1" applyBorder="1" applyAlignment="1">
      <alignment horizontal="center" vertical="center"/>
    </xf>
    <xf numFmtId="1" fontId="4" fillId="26" borderId="50" xfId="0" applyNumberFormat="1" applyFont="1" applyFill="1" applyBorder="1" applyAlignment="1">
      <alignment horizontal="center" vertical="center" wrapText="1"/>
    </xf>
    <xf numFmtId="0" fontId="15" fillId="26" borderId="51" xfId="0" applyFont="1" applyFill="1" applyBorder="1" applyAlignment="1">
      <alignment horizontal="center" vertical="center"/>
    </xf>
    <xf numFmtId="0" fontId="15" fillId="26" borderId="52" xfId="0" applyFont="1" applyFill="1" applyBorder="1" applyAlignment="1">
      <alignment horizontal="center" vertical="center"/>
    </xf>
    <xf numFmtId="0" fontId="63" fillId="26" borderId="53" xfId="0" applyFont="1" applyFill="1" applyBorder="1" applyAlignment="1">
      <alignment horizontal="center" vertical="center"/>
    </xf>
    <xf numFmtId="1" fontId="15" fillId="26" borderId="19" xfId="0" applyNumberFormat="1" applyFont="1" applyFill="1" applyBorder="1" applyAlignment="1">
      <alignment horizontal="center" vertical="center"/>
    </xf>
    <xf numFmtId="1" fontId="0" fillId="26" borderId="16" xfId="0" applyNumberFormat="1" applyFill="1" applyBorder="1" applyAlignment="1">
      <alignment horizontal="center" vertical="center" wrapText="1"/>
    </xf>
    <xf numFmtId="0" fontId="15" fillId="26" borderId="54" xfId="0" applyFont="1" applyFill="1" applyBorder="1" applyAlignment="1">
      <alignment horizontal="center" vertical="center"/>
    </xf>
    <xf numFmtId="0" fontId="15" fillId="26" borderId="53" xfId="0" applyFont="1" applyFill="1" applyBorder="1" applyAlignment="1">
      <alignment horizontal="center" vertical="center"/>
    </xf>
    <xf numFmtId="0" fontId="15" fillId="26" borderId="19" xfId="0" applyFont="1" applyFill="1" applyBorder="1" applyAlignment="1">
      <alignment horizontal="center" vertical="center"/>
    </xf>
    <xf numFmtId="0" fontId="17" fillId="26" borderId="18" xfId="32" applyFont="1" applyFill="1" applyBorder="1" applyAlignment="1">
      <alignment horizontal="left"/>
    </xf>
    <xf numFmtId="0" fontId="17" fillId="26" borderId="10" xfId="0" applyFont="1" applyFill="1" applyBorder="1" applyAlignment="1">
      <alignment vertical="center"/>
    </xf>
    <xf numFmtId="0" fontId="18" fillId="26" borderId="11" xfId="0" applyFont="1" applyFill="1" applyBorder="1" applyAlignment="1">
      <alignment vertical="center"/>
    </xf>
    <xf numFmtId="0" fontId="19" fillId="26" borderId="12" xfId="0" applyFont="1" applyFill="1" applyBorder="1" applyAlignment="1">
      <alignment vertical="center"/>
    </xf>
    <xf numFmtId="0" fontId="19" fillId="26" borderId="12" xfId="0" applyFont="1" applyFill="1" applyBorder="1" applyAlignment="1">
      <alignment horizontal="center" vertical="center"/>
    </xf>
    <xf numFmtId="0" fontId="18" fillId="26" borderId="26" xfId="0" applyFont="1" applyFill="1" applyBorder="1" applyAlignment="1">
      <alignment vertical="center"/>
    </xf>
    <xf numFmtId="0" fontId="14" fillId="26" borderId="55" xfId="0" applyFont="1" applyFill="1" applyBorder="1" applyAlignment="1">
      <alignment vertical="center"/>
    </xf>
    <xf numFmtId="0" fontId="10" fillId="26" borderId="44" xfId="0" applyFont="1" applyFill="1" applyBorder="1" applyAlignment="1">
      <alignment vertical="center" wrapText="1"/>
    </xf>
    <xf numFmtId="0" fontId="10" fillId="26" borderId="47" xfId="0" applyFont="1" applyFill="1" applyBorder="1" applyAlignment="1">
      <alignment vertical="center" wrapText="1"/>
    </xf>
    <xf numFmtId="0" fontId="10" fillId="26" borderId="56" xfId="0" applyFont="1" applyFill="1" applyBorder="1" applyAlignment="1">
      <alignment vertical="center"/>
    </xf>
    <xf numFmtId="0" fontId="10" fillId="26" borderId="57" xfId="0" applyFont="1" applyFill="1" applyBorder="1" applyAlignment="1">
      <alignment vertical="center"/>
    </xf>
    <xf numFmtId="0" fontId="10" fillId="26" borderId="47" xfId="0" applyFont="1" applyFill="1" applyBorder="1" applyAlignment="1">
      <alignment vertical="center"/>
    </xf>
    <xf numFmtId="0" fontId="64" fillId="26" borderId="57" xfId="0" applyFont="1" applyFill="1" applyBorder="1" applyAlignment="1">
      <alignment vertical="center" wrapText="1"/>
    </xf>
    <xf numFmtId="0" fontId="10" fillId="26" borderId="47" xfId="0" applyFont="1" applyFill="1" applyBorder="1"/>
    <xf numFmtId="0" fontId="10" fillId="26" borderId="47" xfId="0" applyFont="1" applyFill="1" applyBorder="1" applyAlignment="1">
      <alignment horizontal="left" vertical="center"/>
    </xf>
    <xf numFmtId="0" fontId="1" fillId="26" borderId="0" xfId="0" applyFont="1" applyFill="1" applyAlignment="1">
      <alignment vertical="center"/>
    </xf>
    <xf numFmtId="0" fontId="22" fillId="26" borderId="49" xfId="0" applyFont="1" applyFill="1" applyBorder="1" applyAlignment="1">
      <alignment vertical="center"/>
    </xf>
    <xf numFmtId="0" fontId="10" fillId="26" borderId="58" xfId="0" applyFont="1" applyFill="1" applyBorder="1" applyAlignment="1">
      <alignment horizontal="center" vertical="center"/>
    </xf>
    <xf numFmtId="0" fontId="22" fillId="26" borderId="0" xfId="0" applyFont="1" applyFill="1" applyAlignment="1">
      <alignment vertical="center"/>
    </xf>
    <xf numFmtId="0" fontId="10" fillId="26" borderId="0" xfId="0" applyFont="1" applyFill="1" applyAlignment="1">
      <alignment horizontal="left" vertical="center"/>
    </xf>
    <xf numFmtId="0" fontId="2" fillId="26" borderId="0" xfId="0" applyFont="1" applyFill="1" applyAlignment="1">
      <alignment horizontal="center" vertical="center"/>
    </xf>
    <xf numFmtId="0" fontId="23" fillId="26" borderId="0" xfId="0" applyFont="1" applyFill="1" applyAlignment="1">
      <alignment horizontal="center" vertical="center"/>
    </xf>
    <xf numFmtId="0" fontId="11" fillId="26" borderId="47" xfId="0" applyFont="1" applyFill="1" applyBorder="1" applyAlignment="1">
      <alignment vertical="center"/>
    </xf>
    <xf numFmtId="0" fontId="11" fillId="26" borderId="48" xfId="0" applyFont="1" applyFill="1" applyBorder="1" applyAlignment="1">
      <alignment vertical="center"/>
    </xf>
    <xf numFmtId="0" fontId="26" fillId="26" borderId="44" xfId="0" applyFont="1" applyFill="1" applyBorder="1" applyAlignment="1">
      <alignment vertical="center"/>
    </xf>
    <xf numFmtId="0" fontId="11" fillId="26" borderId="45" xfId="0" applyFont="1" applyFill="1" applyBorder="1" applyAlignment="1">
      <alignment vertical="center"/>
    </xf>
    <xf numFmtId="0" fontId="27" fillId="26" borderId="46" xfId="0" applyFont="1" applyFill="1" applyBorder="1" applyAlignment="1">
      <alignment vertical="center"/>
    </xf>
    <xf numFmtId="0" fontId="11" fillId="26" borderId="0" xfId="0" applyFont="1" applyFill="1" applyAlignment="1">
      <alignment vertical="center"/>
    </xf>
    <xf numFmtId="0" fontId="22" fillId="26" borderId="48" xfId="0" applyFont="1" applyFill="1" applyBorder="1" applyAlignment="1">
      <alignment vertical="center"/>
    </xf>
    <xf numFmtId="0" fontId="27" fillId="26" borderId="47" xfId="0" applyFont="1" applyFill="1" applyBorder="1" applyAlignment="1">
      <alignment horizontal="center" vertical="center"/>
    </xf>
    <xf numFmtId="0" fontId="27" fillId="26" borderId="0" xfId="0" applyFont="1" applyFill="1" applyAlignment="1">
      <alignment horizontal="center" vertical="center"/>
    </xf>
    <xf numFmtId="0" fontId="22" fillId="26" borderId="47" xfId="0" applyFont="1" applyFill="1" applyBorder="1" applyAlignment="1">
      <alignment horizontal="center" vertical="center"/>
    </xf>
    <xf numFmtId="0" fontId="22" fillId="26" borderId="0" xfId="0" applyFont="1" applyFill="1" applyAlignment="1">
      <alignment horizontal="center" vertical="center"/>
    </xf>
    <xf numFmtId="0" fontId="0" fillId="26" borderId="47" xfId="0" applyFill="1" applyBorder="1" applyAlignment="1">
      <alignment vertical="center"/>
    </xf>
    <xf numFmtId="0" fontId="15" fillId="26" borderId="47" xfId="0" applyFont="1" applyFill="1" applyBorder="1" applyAlignment="1">
      <alignment vertical="center"/>
    </xf>
    <xf numFmtId="0" fontId="15" fillId="26" borderId="0" xfId="0" applyFont="1" applyFill="1" applyAlignment="1">
      <alignment vertical="center"/>
    </xf>
    <xf numFmtId="0" fontId="11" fillId="26" borderId="49" xfId="0" applyFont="1" applyFill="1" applyBorder="1" applyAlignment="1">
      <alignment vertical="center"/>
    </xf>
    <xf numFmtId="0" fontId="11" fillId="26" borderId="59" xfId="0" applyFont="1" applyFill="1" applyBorder="1" applyAlignment="1">
      <alignment vertical="center"/>
    </xf>
    <xf numFmtId="0" fontId="26" fillId="26" borderId="49" xfId="0" applyFont="1" applyFill="1" applyBorder="1" applyAlignment="1">
      <alignment horizontal="right"/>
    </xf>
    <xf numFmtId="0" fontId="10" fillId="26" borderId="58" xfId="0" applyFont="1" applyFill="1" applyBorder="1" applyAlignment="1">
      <alignment vertical="center"/>
    </xf>
    <xf numFmtId="0" fontId="28" fillId="26" borderId="59" xfId="0" applyFont="1" applyFill="1" applyBorder="1" applyAlignment="1">
      <alignment vertical="center"/>
    </xf>
    <xf numFmtId="0" fontId="17" fillId="26" borderId="49" xfId="0" applyFont="1" applyFill="1" applyBorder="1" applyAlignment="1">
      <alignment vertical="center"/>
    </xf>
    <xf numFmtId="0" fontId="11" fillId="26" borderId="58" xfId="0" applyFont="1" applyFill="1" applyBorder="1" applyAlignment="1">
      <alignment vertical="center"/>
    </xf>
    <xf numFmtId="0" fontId="30" fillId="26" borderId="0" xfId="0" applyFont="1" applyFill="1" applyAlignment="1">
      <alignment horizontal="center" vertical="center"/>
    </xf>
    <xf numFmtId="1" fontId="31" fillId="26" borderId="19" xfId="33" applyNumberFormat="1" applyFont="1" applyFill="1" applyBorder="1" applyAlignment="1">
      <alignment horizontal="center" vertical="center"/>
    </xf>
    <xf numFmtId="1" fontId="31" fillId="26" borderId="60" xfId="33" applyNumberFormat="1" applyFont="1" applyFill="1" applyBorder="1" applyAlignment="1">
      <alignment horizontal="center" vertical="center"/>
    </xf>
    <xf numFmtId="167" fontId="15" fillId="26" borderId="15" xfId="0" applyNumberFormat="1" applyFont="1" applyFill="1" applyBorder="1" applyAlignment="1">
      <alignment horizontal="center" vertical="center"/>
    </xf>
    <xf numFmtId="1" fontId="15" fillId="26" borderId="19" xfId="19" applyNumberFormat="1" applyFont="1" applyFill="1" applyBorder="1" applyAlignment="1">
      <alignment horizontal="center" vertical="center"/>
    </xf>
    <xf numFmtId="0" fontId="31" fillId="26" borderId="19" xfId="33" applyFont="1" applyFill="1" applyBorder="1" applyAlignment="1">
      <alignment horizontal="center" vertical="center"/>
    </xf>
    <xf numFmtId="0" fontId="31" fillId="26" borderId="60" xfId="33" applyFont="1" applyFill="1" applyBorder="1" applyAlignment="1">
      <alignment horizontal="center" vertical="center"/>
    </xf>
    <xf numFmtId="1" fontId="15" fillId="26" borderId="60" xfId="0" applyNumberFormat="1" applyFont="1" applyFill="1" applyBorder="1" applyAlignment="1">
      <alignment horizontal="center" vertical="center"/>
    </xf>
    <xf numFmtId="0" fontId="14" fillId="26" borderId="61" xfId="0" applyFont="1" applyFill="1" applyBorder="1" applyAlignment="1">
      <alignment vertical="center"/>
    </xf>
    <xf numFmtId="0" fontId="15" fillId="26" borderId="15" xfId="0" applyFont="1" applyFill="1" applyBorder="1" applyAlignment="1">
      <alignment horizontal="center" vertical="center"/>
    </xf>
    <xf numFmtId="171" fontId="14" fillId="26" borderId="12" xfId="19" applyNumberFormat="1" applyFont="1" applyFill="1" applyBorder="1" applyAlignment="1">
      <alignment vertical="center"/>
    </xf>
    <xf numFmtId="167" fontId="32" fillId="26" borderId="62" xfId="0" applyNumberFormat="1" applyFont="1" applyFill="1" applyBorder="1" applyAlignment="1">
      <alignment horizontal="center" vertical="center"/>
    </xf>
    <xf numFmtId="0" fontId="4" fillId="26" borderId="63" xfId="0" applyFont="1" applyFill="1" applyBorder="1" applyAlignment="1">
      <alignment horizontal="center" vertical="center" wrapText="1"/>
    </xf>
    <xf numFmtId="0" fontId="15" fillId="26" borderId="51" xfId="0" applyFont="1" applyFill="1" applyBorder="1" applyAlignment="1">
      <alignment horizontal="center" vertical="center" wrapText="1"/>
    </xf>
    <xf numFmtId="167" fontId="1" fillId="26" borderId="64" xfId="19" applyNumberFormat="1" applyFont="1" applyFill="1" applyBorder="1" applyAlignment="1">
      <alignment horizontal="center" vertical="center"/>
    </xf>
    <xf numFmtId="167" fontId="1" fillId="26" borderId="50" xfId="19" applyNumberFormat="1" applyFont="1" applyFill="1" applyBorder="1" applyAlignment="1">
      <alignment horizontal="center" vertical="center"/>
    </xf>
    <xf numFmtId="167" fontId="1" fillId="26" borderId="18" xfId="19" applyNumberFormat="1" applyFont="1" applyFill="1" applyBorder="1" applyAlignment="1">
      <alignment horizontal="center" vertical="center"/>
    </xf>
    <xf numFmtId="167" fontId="1" fillId="26" borderId="19" xfId="19" applyNumberFormat="1" applyFont="1" applyFill="1" applyBorder="1" applyAlignment="1">
      <alignment horizontal="center" vertical="center"/>
    </xf>
    <xf numFmtId="167" fontId="4" fillId="26" borderId="62" xfId="19" applyNumberFormat="1" applyFont="1" applyFill="1" applyBorder="1" applyAlignment="1">
      <alignment horizontal="center" vertical="center"/>
    </xf>
    <xf numFmtId="167" fontId="4" fillId="26" borderId="65" xfId="19" applyNumberFormat="1" applyFont="1" applyFill="1" applyBorder="1" applyAlignment="1">
      <alignment horizontal="center" vertical="center"/>
    </xf>
    <xf numFmtId="0" fontId="1" fillId="26" borderId="0" xfId="0" applyFont="1" applyFill="1" applyAlignment="1">
      <alignment horizontal="center" vertical="center"/>
    </xf>
    <xf numFmtId="9" fontId="1" fillId="26" borderId="0" xfId="34" applyFont="1" applyFill="1" applyBorder="1" applyAlignment="1">
      <alignment horizontal="center" vertical="center"/>
    </xf>
    <xf numFmtId="0" fontId="11" fillId="26" borderId="44" xfId="0" applyFont="1" applyFill="1" applyBorder="1" applyAlignment="1">
      <alignment vertical="center"/>
    </xf>
    <xf numFmtId="0" fontId="11" fillId="26" borderId="45" xfId="0" applyFont="1" applyFill="1" applyBorder="1" applyAlignment="1">
      <alignment vertical="center" wrapText="1"/>
    </xf>
    <xf numFmtId="0" fontId="11" fillId="26" borderId="47" xfId="0" applyFont="1" applyFill="1" applyBorder="1" applyAlignment="1">
      <alignment vertical="center" wrapText="1"/>
    </xf>
    <xf numFmtId="0" fontId="11" fillId="26" borderId="0" xfId="0" applyFont="1" applyFill="1" applyAlignment="1">
      <alignment vertical="center" wrapText="1"/>
    </xf>
    <xf numFmtId="0" fontId="11" fillId="26" borderId="46" xfId="0" applyFont="1" applyFill="1" applyBorder="1" applyAlignment="1">
      <alignment vertical="center"/>
    </xf>
    <xf numFmtId="0" fontId="28" fillId="26" borderId="45" xfId="0" applyFont="1" applyFill="1" applyBorder="1" applyAlignment="1">
      <alignment vertical="center"/>
    </xf>
    <xf numFmtId="0" fontId="28" fillId="26" borderId="44" xfId="0" applyFont="1" applyFill="1" applyBorder="1" applyAlignment="1">
      <alignment vertical="center"/>
    </xf>
    <xf numFmtId="0" fontId="28" fillId="26" borderId="0" xfId="0" applyFont="1" applyFill="1" applyAlignment="1">
      <alignment vertical="center"/>
    </xf>
    <xf numFmtId="0" fontId="28" fillId="26" borderId="47" xfId="0" applyFont="1" applyFill="1" applyBorder="1" applyAlignment="1">
      <alignment vertical="center"/>
    </xf>
    <xf numFmtId="0" fontId="17" fillId="26" borderId="0" xfId="0" applyFont="1" applyFill="1" applyAlignment="1">
      <alignment vertical="center"/>
    </xf>
    <xf numFmtId="0" fontId="17" fillId="26" borderId="48" xfId="0" applyFont="1" applyFill="1" applyBorder="1" applyAlignment="1">
      <alignment vertical="center"/>
    </xf>
    <xf numFmtId="0" fontId="0" fillId="26" borderId="48" xfId="0" applyFill="1" applyBorder="1" applyAlignment="1">
      <alignment vertical="center"/>
    </xf>
    <xf numFmtId="0" fontId="15" fillId="26" borderId="48" xfId="0" applyFont="1" applyFill="1" applyBorder="1" applyAlignment="1">
      <alignment vertical="center"/>
    </xf>
    <xf numFmtId="0" fontId="0" fillId="26" borderId="58" xfId="0" applyFill="1" applyBorder="1" applyAlignment="1">
      <alignment vertical="center"/>
    </xf>
    <xf numFmtId="0" fontId="17" fillId="26" borderId="58" xfId="0" applyFont="1" applyFill="1" applyBorder="1" applyAlignment="1">
      <alignment vertical="center"/>
    </xf>
    <xf numFmtId="0" fontId="17" fillId="26" borderId="59" xfId="0" applyFont="1" applyFill="1" applyBorder="1" applyAlignment="1">
      <alignment vertical="center"/>
    </xf>
    <xf numFmtId="0" fontId="0" fillId="26" borderId="49" xfId="0" applyFill="1" applyBorder="1" applyAlignment="1">
      <alignment vertical="center"/>
    </xf>
    <xf numFmtId="0" fontId="29" fillId="26" borderId="0" xfId="0" applyFont="1" applyFill="1" applyAlignment="1">
      <alignment vertical="center" wrapText="1"/>
    </xf>
    <xf numFmtId="0" fontId="30" fillId="26" borderId="0" xfId="0" applyFont="1" applyFill="1" applyAlignment="1">
      <alignment vertical="center"/>
    </xf>
    <xf numFmtId="169" fontId="10" fillId="26" borderId="12" xfId="19" applyNumberFormat="1" applyFont="1" applyFill="1" applyBorder="1" applyAlignment="1">
      <alignment horizontal="center" vertical="center" wrapText="1"/>
    </xf>
    <xf numFmtId="169" fontId="10" fillId="26" borderId="35" xfId="19" applyNumberFormat="1" applyFont="1" applyFill="1" applyBorder="1" applyAlignment="1">
      <alignment horizontal="center" vertical="center" wrapText="1"/>
    </xf>
    <xf numFmtId="164" fontId="15" fillId="26" borderId="30" xfId="22" applyFont="1" applyFill="1" applyBorder="1" applyAlignment="1">
      <alignment horizontal="center" vertical="center" wrapText="1"/>
    </xf>
    <xf numFmtId="4" fontId="15" fillId="26" borderId="66" xfId="22" applyNumberFormat="1" applyFont="1" applyFill="1" applyBorder="1" applyAlignment="1">
      <alignment horizontal="center" vertical="center" wrapText="1"/>
    </xf>
    <xf numFmtId="172" fontId="14" fillId="26" borderId="26" xfId="22" applyNumberFormat="1" applyFont="1" applyFill="1" applyBorder="1" applyAlignment="1">
      <alignment vertical="center"/>
    </xf>
    <xf numFmtId="4" fontId="14" fillId="26" borderId="67" xfId="22" applyNumberFormat="1" applyFont="1" applyFill="1" applyBorder="1" applyAlignment="1">
      <alignment vertical="center"/>
    </xf>
    <xf numFmtId="172" fontId="33" fillId="26" borderId="68" xfId="22" applyNumberFormat="1" applyFont="1" applyFill="1" applyBorder="1" applyAlignment="1">
      <alignment vertical="center"/>
    </xf>
    <xf numFmtId="4" fontId="32" fillId="26" borderId="69" xfId="22" applyNumberFormat="1" applyFont="1" applyFill="1" applyBorder="1" applyAlignment="1">
      <alignment horizontal="center" vertical="center"/>
    </xf>
    <xf numFmtId="165" fontId="11" fillId="26" borderId="0" xfId="19" applyFont="1" applyFill="1" applyBorder="1" applyAlignment="1">
      <alignment vertical="center"/>
    </xf>
    <xf numFmtId="169" fontId="11" fillId="26" borderId="0" xfId="19" applyNumberFormat="1" applyFont="1" applyFill="1" applyBorder="1" applyAlignment="1">
      <alignment vertical="center"/>
    </xf>
    <xf numFmtId="0" fontId="34" fillId="26" borderId="0" xfId="0" applyFont="1" applyFill="1" applyAlignment="1">
      <alignment vertical="center"/>
    </xf>
    <xf numFmtId="0" fontId="4" fillId="26" borderId="70" xfId="0" applyFont="1" applyFill="1" applyBorder="1" applyAlignment="1">
      <alignment horizontal="center" vertical="center" wrapText="1"/>
    </xf>
    <xf numFmtId="167" fontId="1" fillId="26" borderId="71" xfId="19" applyNumberFormat="1" applyFont="1" applyFill="1" applyBorder="1" applyAlignment="1">
      <alignment vertical="center"/>
    </xf>
    <xf numFmtId="167" fontId="4" fillId="26" borderId="72" xfId="19" applyNumberFormat="1" applyFont="1" applyFill="1" applyBorder="1" applyAlignment="1">
      <alignment vertical="center"/>
    </xf>
    <xf numFmtId="0" fontId="35" fillId="26" borderId="0" xfId="0" applyFont="1" applyFill="1" applyAlignment="1">
      <alignment vertical="center"/>
    </xf>
    <xf numFmtId="167" fontId="1" fillId="26" borderId="66" xfId="19" applyNumberFormat="1" applyFont="1" applyFill="1" applyBorder="1" applyAlignment="1">
      <alignment vertical="center"/>
    </xf>
    <xf numFmtId="167" fontId="4" fillId="26" borderId="34" xfId="19" applyNumberFormat="1" applyFont="1" applyFill="1" applyBorder="1" applyAlignment="1">
      <alignment vertical="center"/>
    </xf>
    <xf numFmtId="167" fontId="4" fillId="26" borderId="69" xfId="19" applyNumberFormat="1" applyFont="1" applyFill="1" applyBorder="1" applyAlignment="1">
      <alignment vertical="center"/>
    </xf>
    <xf numFmtId="0" fontId="65" fillId="26" borderId="73" xfId="0" applyFont="1" applyFill="1" applyBorder="1" applyAlignment="1">
      <alignment vertical="center"/>
    </xf>
    <xf numFmtId="0" fontId="11" fillId="26" borderId="46" xfId="0" applyFont="1" applyFill="1" applyBorder="1" applyAlignment="1">
      <alignment vertical="center" wrapText="1"/>
    </xf>
    <xf numFmtId="0" fontId="11" fillId="26" borderId="48" xfId="0" applyFont="1" applyFill="1" applyBorder="1" applyAlignment="1">
      <alignment vertical="center" wrapText="1"/>
    </xf>
    <xf numFmtId="169" fontId="2" fillId="26" borderId="0" xfId="19" applyNumberFormat="1" applyFont="1" applyFill="1" applyAlignment="1">
      <alignment vertical="center"/>
    </xf>
    <xf numFmtId="0" fontId="1" fillId="26" borderId="77" xfId="0" applyFont="1" applyFill="1" applyBorder="1" applyAlignment="1">
      <alignment horizontal="center" vertical="center"/>
    </xf>
    <xf numFmtId="0" fontId="1" fillId="26" borderId="78" xfId="0" applyFont="1" applyFill="1" applyBorder="1" applyAlignment="1">
      <alignment horizontal="center" vertical="center"/>
    </xf>
    <xf numFmtId="0" fontId="10" fillId="26" borderId="71" xfId="0" applyFont="1" applyFill="1" applyBorder="1" applyAlignment="1">
      <alignment horizontal="center" vertical="center"/>
    </xf>
    <xf numFmtId="0" fontId="10" fillId="26" borderId="94" xfId="0" applyFont="1" applyFill="1" applyBorder="1" applyAlignment="1">
      <alignment horizontal="center" vertical="center"/>
    </xf>
    <xf numFmtId="0" fontId="10" fillId="26" borderId="67" xfId="0" applyFont="1" applyFill="1" applyBorder="1" applyAlignment="1">
      <alignment horizontal="center" vertical="center"/>
    </xf>
    <xf numFmtId="0" fontId="16" fillId="26" borderId="44" xfId="0" applyFont="1" applyFill="1" applyBorder="1" applyAlignment="1">
      <alignment horizontal="center" vertical="center" textRotation="180"/>
    </xf>
    <xf numFmtId="0" fontId="16" fillId="26" borderId="47" xfId="0" applyFont="1" applyFill="1" applyBorder="1" applyAlignment="1">
      <alignment horizontal="center" vertical="center" textRotation="180"/>
    </xf>
    <xf numFmtId="0" fontId="16" fillId="26" borderId="95" xfId="0" applyFont="1" applyFill="1" applyBorder="1" applyAlignment="1">
      <alignment horizontal="center" vertical="center" textRotation="180"/>
    </xf>
    <xf numFmtId="0" fontId="4" fillId="26" borderId="44" xfId="0" applyFont="1" applyFill="1" applyBorder="1" applyAlignment="1">
      <alignment horizontal="center" vertical="center" wrapText="1"/>
    </xf>
    <xf numFmtId="0" fontId="4" fillId="26" borderId="46" xfId="0" applyFont="1" applyFill="1" applyBorder="1" applyAlignment="1">
      <alignment horizontal="center" vertical="center" wrapText="1"/>
    </xf>
    <xf numFmtId="0" fontId="4" fillId="26" borderId="49" xfId="0" applyFont="1" applyFill="1" applyBorder="1" applyAlignment="1">
      <alignment horizontal="center" vertical="center" wrapText="1"/>
    </xf>
    <xf numFmtId="0" fontId="4" fillId="26" borderId="58" xfId="0" applyFont="1" applyFill="1" applyBorder="1" applyAlignment="1">
      <alignment horizontal="center" vertical="center" wrapText="1"/>
    </xf>
    <xf numFmtId="0" fontId="10" fillId="26" borderId="0" xfId="0" applyFont="1" applyFill="1" applyAlignment="1">
      <alignment horizontal="center" vertical="center"/>
    </xf>
    <xf numFmtId="0" fontId="10" fillId="26" borderId="48" xfId="0" applyFont="1" applyFill="1" applyBorder="1" applyAlignment="1">
      <alignment horizontal="center" vertical="center"/>
    </xf>
    <xf numFmtId="0" fontId="10" fillId="26" borderId="58" xfId="0" applyFont="1" applyFill="1" applyBorder="1" applyAlignment="1">
      <alignment horizontal="center" vertical="center"/>
    </xf>
    <xf numFmtId="0" fontId="10" fillId="26" borderId="59" xfId="0" applyFont="1" applyFill="1" applyBorder="1" applyAlignment="1">
      <alignment horizontal="center" vertical="center"/>
    </xf>
    <xf numFmtId="0" fontId="21" fillId="26" borderId="98" xfId="0" applyFont="1" applyFill="1" applyBorder="1" applyAlignment="1">
      <alignment horizontal="center" vertical="center"/>
    </xf>
    <xf numFmtId="0" fontId="21" fillId="26" borderId="99" xfId="0" applyFont="1" applyFill="1" applyBorder="1" applyAlignment="1">
      <alignment horizontal="center" vertical="center"/>
    </xf>
    <xf numFmtId="0" fontId="21" fillId="26" borderId="100" xfId="0" applyFont="1" applyFill="1" applyBorder="1" applyAlignment="1">
      <alignment horizontal="center" vertical="center"/>
    </xf>
    <xf numFmtId="0" fontId="21" fillId="26" borderId="101" xfId="0" applyFont="1" applyFill="1" applyBorder="1" applyAlignment="1">
      <alignment horizontal="center" vertical="center"/>
    </xf>
    <xf numFmtId="0" fontId="11" fillId="26" borderId="98" xfId="0" applyFont="1" applyFill="1" applyBorder="1" applyAlignment="1">
      <alignment horizontal="center" vertical="center"/>
    </xf>
    <xf numFmtId="0" fontId="11" fillId="26" borderId="99" xfId="0" applyFont="1" applyFill="1" applyBorder="1" applyAlignment="1">
      <alignment horizontal="center" vertical="center"/>
    </xf>
    <xf numFmtId="0" fontId="11" fillId="26" borderId="0" xfId="0" applyFont="1" applyFill="1" applyAlignment="1">
      <alignment horizontal="center" vertical="center"/>
    </xf>
    <xf numFmtId="0" fontId="11" fillId="26" borderId="48" xfId="0" applyFont="1" applyFill="1" applyBorder="1" applyAlignment="1">
      <alignment horizontal="center" vertical="center"/>
    </xf>
    <xf numFmtId="170" fontId="20" fillId="27" borderId="45" xfId="0" applyNumberFormat="1" applyFont="1" applyFill="1" applyBorder="1" applyAlignment="1">
      <alignment horizontal="center" vertical="center"/>
    </xf>
    <xf numFmtId="170" fontId="20" fillId="27" borderId="46" xfId="0" applyNumberFormat="1" applyFont="1" applyFill="1" applyBorder="1" applyAlignment="1">
      <alignment horizontal="center" vertical="center"/>
    </xf>
    <xf numFmtId="170" fontId="20" fillId="27" borderId="100" xfId="0" applyNumberFormat="1" applyFont="1" applyFill="1" applyBorder="1" applyAlignment="1">
      <alignment horizontal="center" vertical="center"/>
    </xf>
    <xf numFmtId="170" fontId="20" fillId="27" borderId="101" xfId="0" applyNumberFormat="1" applyFont="1" applyFill="1" applyBorder="1" applyAlignment="1">
      <alignment horizontal="center" vertical="center"/>
    </xf>
    <xf numFmtId="0" fontId="4" fillId="26" borderId="45" xfId="0" applyFont="1" applyFill="1" applyBorder="1" applyAlignment="1">
      <alignment horizontal="center" vertical="center" wrapText="1"/>
    </xf>
    <xf numFmtId="0" fontId="4" fillId="26" borderId="47" xfId="0" applyFont="1" applyFill="1" applyBorder="1" applyAlignment="1">
      <alignment horizontal="center" vertical="center" wrapText="1"/>
    </xf>
    <xf numFmtId="0" fontId="4" fillId="26" borderId="0" xfId="0" applyFont="1" applyFill="1" applyAlignment="1">
      <alignment horizontal="center" vertical="center" wrapText="1"/>
    </xf>
    <xf numFmtId="0" fontId="4" fillId="26" borderId="48" xfId="0" applyFont="1" applyFill="1" applyBorder="1" applyAlignment="1">
      <alignment horizontal="center" vertical="center" wrapText="1"/>
    </xf>
    <xf numFmtId="0" fontId="4" fillId="26" borderId="44" xfId="0" applyFont="1" applyFill="1" applyBorder="1" applyAlignment="1">
      <alignment horizontal="center" vertical="center"/>
    </xf>
    <xf numFmtId="0" fontId="4" fillId="26" borderId="45" xfId="0" applyFont="1" applyFill="1" applyBorder="1" applyAlignment="1">
      <alignment horizontal="center" vertical="center"/>
    </xf>
    <xf numFmtId="0" fontId="4" fillId="26" borderId="46" xfId="0" applyFont="1" applyFill="1" applyBorder="1" applyAlignment="1">
      <alignment horizontal="center" vertical="center"/>
    </xf>
    <xf numFmtId="0" fontId="4" fillId="26" borderId="47" xfId="0" applyFont="1" applyFill="1" applyBorder="1" applyAlignment="1">
      <alignment horizontal="center" vertical="center"/>
    </xf>
    <xf numFmtId="0" fontId="4" fillId="26" borderId="0" xfId="0" applyFont="1" applyFill="1" applyAlignment="1">
      <alignment horizontal="center" vertical="center"/>
    </xf>
    <xf numFmtId="0" fontId="4" fillId="26" borderId="48" xfId="0" applyFont="1" applyFill="1" applyBorder="1" applyAlignment="1">
      <alignment horizontal="center" vertical="center"/>
    </xf>
    <xf numFmtId="0" fontId="4" fillId="26" borderId="49" xfId="0" applyFont="1" applyFill="1" applyBorder="1" applyAlignment="1">
      <alignment horizontal="center" vertical="center"/>
    </xf>
    <xf numFmtId="0" fontId="4" fillId="26" borderId="58" xfId="0" applyFont="1" applyFill="1" applyBorder="1" applyAlignment="1">
      <alignment horizontal="center" vertical="center"/>
    </xf>
    <xf numFmtId="0" fontId="4" fillId="26" borderId="59" xfId="0" applyFont="1" applyFill="1" applyBorder="1" applyAlignment="1">
      <alignment horizontal="center" vertical="center"/>
    </xf>
    <xf numFmtId="0" fontId="10" fillId="26" borderId="64" xfId="0" applyFont="1" applyFill="1" applyBorder="1" applyAlignment="1">
      <alignment horizontal="center" vertical="center" wrapText="1"/>
    </xf>
    <xf numFmtId="0" fontId="10" fillId="26" borderId="91" xfId="0" applyFont="1" applyFill="1" applyBorder="1" applyAlignment="1">
      <alignment horizontal="center" vertical="center" wrapText="1"/>
    </xf>
    <xf numFmtId="0" fontId="10" fillId="26" borderId="10" xfId="0" applyFont="1" applyFill="1" applyBorder="1" applyAlignment="1">
      <alignment horizontal="center" vertical="center" wrapText="1"/>
    </xf>
    <xf numFmtId="0" fontId="14" fillId="26" borderId="44" xfId="0" applyFont="1" applyFill="1" applyBorder="1" applyAlignment="1">
      <alignment horizontal="left" vertical="center" wrapText="1"/>
    </xf>
    <xf numFmtId="0" fontId="14" fillId="26" borderId="92" xfId="0" applyFont="1" applyFill="1" applyBorder="1" applyAlignment="1">
      <alignment horizontal="left" vertical="center" wrapText="1"/>
    </xf>
    <xf numFmtId="0" fontId="10" fillId="26" borderId="51" xfId="0" applyFont="1" applyFill="1" applyBorder="1" applyAlignment="1">
      <alignment horizontal="center" vertical="center" wrapText="1"/>
    </xf>
    <xf numFmtId="0" fontId="10" fillId="26" borderId="93" xfId="0" applyFont="1" applyFill="1" applyBorder="1" applyAlignment="1">
      <alignment horizontal="center" vertical="center" wrapText="1"/>
    </xf>
    <xf numFmtId="0" fontId="10" fillId="26" borderId="16" xfId="0" applyFont="1" applyFill="1" applyBorder="1" applyAlignment="1">
      <alignment horizontal="center" vertical="center" wrapText="1"/>
    </xf>
    <xf numFmtId="0" fontId="10" fillId="26" borderId="50" xfId="0" applyFont="1" applyFill="1" applyBorder="1" applyAlignment="1">
      <alignment horizontal="center" vertical="center"/>
    </xf>
    <xf numFmtId="0" fontId="10" fillId="26" borderId="93" xfId="0" applyFont="1" applyFill="1" applyBorder="1" applyAlignment="1">
      <alignment horizontal="center" vertical="center"/>
    </xf>
    <xf numFmtId="0" fontId="10" fillId="26" borderId="12" xfId="0" applyFont="1" applyFill="1" applyBorder="1" applyAlignment="1">
      <alignment horizontal="center" vertical="center"/>
    </xf>
    <xf numFmtId="0" fontId="24" fillId="26" borderId="74" xfId="0" applyFont="1" applyFill="1" applyBorder="1" applyAlignment="1">
      <alignment horizontal="center" vertical="center"/>
    </xf>
    <xf numFmtId="0" fontId="24" fillId="26" borderId="75" xfId="0" applyFont="1" applyFill="1" applyBorder="1" applyAlignment="1">
      <alignment horizontal="center" vertical="center"/>
    </xf>
    <xf numFmtId="0" fontId="24" fillId="26" borderId="73" xfId="0" applyFont="1" applyFill="1" applyBorder="1" applyAlignment="1">
      <alignment horizontal="center" vertical="center"/>
    </xf>
    <xf numFmtId="0" fontId="15" fillId="30" borderId="44" xfId="0" applyFont="1" applyFill="1" applyBorder="1" applyAlignment="1">
      <alignment horizontal="center" vertical="center"/>
    </xf>
    <xf numFmtId="0" fontId="15" fillId="30" borderId="46" xfId="0" applyFont="1" applyFill="1" applyBorder="1" applyAlignment="1">
      <alignment horizontal="center" vertical="center"/>
    </xf>
    <xf numFmtId="0" fontId="25" fillId="30" borderId="44" xfId="0" applyFont="1" applyFill="1" applyBorder="1" applyAlignment="1">
      <alignment horizontal="center" vertical="center" wrapText="1"/>
    </xf>
    <xf numFmtId="0" fontId="25" fillId="30" borderId="45" xfId="0" applyFont="1" applyFill="1" applyBorder="1" applyAlignment="1">
      <alignment horizontal="center" vertical="center" wrapText="1"/>
    </xf>
    <xf numFmtId="0" fontId="25" fillId="30" borderId="46" xfId="0" applyFont="1" applyFill="1" applyBorder="1" applyAlignment="1">
      <alignment horizontal="center" vertical="center" wrapText="1"/>
    </xf>
    <xf numFmtId="0" fontId="10" fillId="32" borderId="44" xfId="0" applyFont="1" applyFill="1" applyBorder="1" applyAlignment="1">
      <alignment horizontal="center" vertical="center"/>
    </xf>
    <xf numFmtId="0" fontId="10" fillId="32" borderId="45" xfId="0" applyFont="1" applyFill="1" applyBorder="1" applyAlignment="1">
      <alignment horizontal="center" vertical="center"/>
    </xf>
    <xf numFmtId="0" fontId="10" fillId="32" borderId="46" xfId="0" applyFont="1" applyFill="1" applyBorder="1" applyAlignment="1">
      <alignment horizontal="center" vertical="center"/>
    </xf>
    <xf numFmtId="0" fontId="10" fillId="30" borderId="44" xfId="0" applyFont="1" applyFill="1" applyBorder="1" applyAlignment="1">
      <alignment horizontal="center" vertical="center"/>
    </xf>
    <xf numFmtId="0" fontId="10" fillId="30" borderId="45" xfId="0" applyFont="1" applyFill="1" applyBorder="1" applyAlignment="1">
      <alignment horizontal="center" vertical="center"/>
    </xf>
    <xf numFmtId="0" fontId="10" fillId="30" borderId="46" xfId="0" applyFont="1" applyFill="1" applyBorder="1" applyAlignment="1">
      <alignment horizontal="center" vertical="center"/>
    </xf>
    <xf numFmtId="0" fontId="10" fillId="30" borderId="49" xfId="0" applyFont="1" applyFill="1" applyBorder="1" applyAlignment="1">
      <alignment horizontal="center" vertical="center"/>
    </xf>
    <xf numFmtId="0" fontId="10" fillId="30" borderId="58" xfId="0" applyFont="1" applyFill="1" applyBorder="1" applyAlignment="1">
      <alignment horizontal="center" vertical="center"/>
    </xf>
    <xf numFmtId="0" fontId="10" fillId="30" borderId="59" xfId="0" applyFont="1" applyFill="1" applyBorder="1" applyAlignment="1">
      <alignment horizontal="center" vertical="center"/>
    </xf>
    <xf numFmtId="0" fontId="10" fillId="32" borderId="49" xfId="0" applyFont="1" applyFill="1" applyBorder="1" applyAlignment="1">
      <alignment horizontal="center" vertical="center"/>
    </xf>
    <xf numFmtId="0" fontId="10" fillId="32" borderId="58" xfId="0" applyFont="1" applyFill="1" applyBorder="1" applyAlignment="1">
      <alignment horizontal="center" vertical="center"/>
    </xf>
    <xf numFmtId="0" fontId="10" fillId="32" borderId="59" xfId="0" applyFont="1" applyFill="1" applyBorder="1" applyAlignment="1">
      <alignment horizontal="center" vertical="center"/>
    </xf>
    <xf numFmtId="0" fontId="17" fillId="30" borderId="49" xfId="0" applyFont="1" applyFill="1" applyBorder="1" applyAlignment="1">
      <alignment horizontal="center" vertical="center"/>
    </xf>
    <xf numFmtId="0" fontId="17" fillId="30" borderId="58" xfId="0" applyFont="1" applyFill="1" applyBorder="1" applyAlignment="1">
      <alignment horizontal="center" vertical="center"/>
    </xf>
    <xf numFmtId="0" fontId="17" fillId="30" borderId="59" xfId="0" applyFont="1" applyFill="1" applyBorder="1" applyAlignment="1">
      <alignment horizontal="center" vertical="center"/>
    </xf>
    <xf numFmtId="0" fontId="10" fillId="30" borderId="74" xfId="0" applyFont="1" applyFill="1" applyBorder="1" applyAlignment="1">
      <alignment horizontal="left" vertical="center"/>
    </xf>
    <xf numFmtId="0" fontId="10" fillId="30" borderId="75" xfId="0" applyFont="1" applyFill="1" applyBorder="1" applyAlignment="1">
      <alignment horizontal="left" vertical="center"/>
    </xf>
    <xf numFmtId="0" fontId="10" fillId="30" borderId="73" xfId="0" applyFont="1" applyFill="1" applyBorder="1" applyAlignment="1">
      <alignment horizontal="left" vertical="center"/>
    </xf>
    <xf numFmtId="0" fontId="21" fillId="31" borderId="74" xfId="0" applyFont="1" applyFill="1" applyBorder="1" applyAlignment="1">
      <alignment horizontal="center" vertical="center"/>
    </xf>
    <xf numFmtId="0" fontId="21" fillId="31" borderId="75" xfId="0" applyFont="1" applyFill="1" applyBorder="1" applyAlignment="1">
      <alignment horizontal="center" vertical="center"/>
    </xf>
    <xf numFmtId="0" fontId="21" fillId="31" borderId="73" xfId="0" applyFont="1" applyFill="1" applyBorder="1" applyAlignment="1">
      <alignment horizontal="center" vertical="center"/>
    </xf>
    <xf numFmtId="0" fontId="1" fillId="26" borderId="50" xfId="0" applyFont="1" applyFill="1" applyBorder="1" applyAlignment="1">
      <alignment horizontal="center" vertical="center"/>
    </xf>
    <xf numFmtId="165" fontId="24" fillId="26" borderId="81" xfId="19" applyFont="1" applyFill="1" applyBorder="1" applyAlignment="1">
      <alignment horizontal="center" vertical="center"/>
    </xf>
    <xf numFmtId="165" fontId="24" fillId="26" borderId="82" xfId="19" applyFont="1" applyFill="1" applyBorder="1" applyAlignment="1">
      <alignment horizontal="center" vertical="center"/>
    </xf>
    <xf numFmtId="165" fontId="24" fillId="26" borderId="83" xfId="19" applyFont="1" applyFill="1" applyBorder="1" applyAlignment="1">
      <alignment horizontal="center" vertical="center"/>
    </xf>
    <xf numFmtId="165" fontId="24" fillId="26" borderId="84" xfId="19" applyFont="1" applyFill="1" applyBorder="1" applyAlignment="1">
      <alignment horizontal="center" vertical="center"/>
    </xf>
    <xf numFmtId="0" fontId="66" fillId="26" borderId="82" xfId="0" applyFont="1" applyFill="1" applyBorder="1" applyAlignment="1">
      <alignment horizontal="center" vertical="center"/>
    </xf>
    <xf numFmtId="0" fontId="66" fillId="26" borderId="83" xfId="0" applyFont="1" applyFill="1" applyBorder="1" applyAlignment="1">
      <alignment horizontal="center" vertical="center"/>
    </xf>
    <xf numFmtId="0" fontId="66" fillId="26" borderId="84" xfId="0" applyFont="1" applyFill="1" applyBorder="1" applyAlignment="1">
      <alignment horizontal="center" vertical="center"/>
    </xf>
    <xf numFmtId="0" fontId="11" fillId="26" borderId="44" xfId="0" applyFont="1" applyFill="1" applyBorder="1" applyAlignment="1">
      <alignment horizontal="center" vertical="center" wrapText="1"/>
    </xf>
    <xf numFmtId="0" fontId="11" fillId="26" borderId="45" xfId="0" applyFont="1" applyFill="1" applyBorder="1" applyAlignment="1">
      <alignment horizontal="center" vertical="center" wrapText="1"/>
    </xf>
    <xf numFmtId="0" fontId="11" fillId="26" borderId="46" xfId="0" applyFont="1" applyFill="1" applyBorder="1" applyAlignment="1">
      <alignment horizontal="center" vertical="center" wrapText="1"/>
    </xf>
    <xf numFmtId="0" fontId="11" fillId="26" borderId="47" xfId="0" applyFont="1" applyFill="1" applyBorder="1" applyAlignment="1">
      <alignment horizontal="center" vertical="center" wrapText="1"/>
    </xf>
    <xf numFmtId="0" fontId="11" fillId="26" borderId="0" xfId="0" applyFont="1" applyFill="1" applyAlignment="1">
      <alignment horizontal="center" vertical="center" wrapText="1"/>
    </xf>
    <xf numFmtId="0" fontId="11" fillId="26" borderId="48" xfId="0" applyFont="1" applyFill="1" applyBorder="1" applyAlignment="1">
      <alignment horizontal="center" vertical="center" wrapText="1"/>
    </xf>
    <xf numFmtId="0" fontId="11" fillId="26" borderId="85" xfId="0" applyFont="1" applyFill="1" applyBorder="1" applyAlignment="1">
      <alignment horizontal="center" vertical="center" wrapText="1"/>
    </xf>
    <xf numFmtId="0" fontId="11" fillId="26" borderId="86" xfId="0" applyFont="1" applyFill="1" applyBorder="1" applyAlignment="1">
      <alignment horizontal="center" vertical="center" wrapText="1"/>
    </xf>
    <xf numFmtId="0" fontId="11" fillId="26" borderId="87" xfId="0" applyFont="1" applyFill="1" applyBorder="1" applyAlignment="1">
      <alignment horizontal="center" vertical="center" wrapText="1"/>
    </xf>
    <xf numFmtId="0" fontId="67" fillId="26" borderId="88" xfId="0" applyFont="1" applyFill="1" applyBorder="1" applyAlignment="1">
      <alignment horizontal="center" vertical="center"/>
    </xf>
    <xf numFmtId="0" fontId="67" fillId="26" borderId="89" xfId="0" applyFont="1" applyFill="1" applyBorder="1" applyAlignment="1">
      <alignment horizontal="center" vertical="center"/>
    </xf>
    <xf numFmtId="0" fontId="67" fillId="26" borderId="90" xfId="0" applyFont="1" applyFill="1" applyBorder="1" applyAlignment="1">
      <alignment horizontal="center" vertical="center"/>
    </xf>
    <xf numFmtId="0" fontId="11" fillId="26" borderId="88" xfId="0" applyFont="1" applyFill="1" applyBorder="1" applyAlignment="1">
      <alignment horizontal="center" vertical="center"/>
    </xf>
    <xf numFmtId="0" fontId="11" fillId="26" borderId="89" xfId="0" applyFont="1" applyFill="1" applyBorder="1" applyAlignment="1">
      <alignment horizontal="center" vertical="center"/>
    </xf>
    <xf numFmtId="0" fontId="11" fillId="26" borderId="90" xfId="0" applyFont="1" applyFill="1" applyBorder="1" applyAlignment="1">
      <alignment horizontal="center" vertical="center"/>
    </xf>
    <xf numFmtId="0" fontId="68" fillId="26" borderId="0" xfId="0" applyFont="1" applyFill="1" applyAlignment="1">
      <alignment horizontal="center" vertical="center" wrapText="1"/>
    </xf>
    <xf numFmtId="0" fontId="68" fillId="26" borderId="48" xfId="0" applyFont="1" applyFill="1" applyBorder="1" applyAlignment="1">
      <alignment horizontal="center" vertical="center" wrapText="1"/>
    </xf>
    <xf numFmtId="0" fontId="68" fillId="26" borderId="47" xfId="0" applyFont="1" applyFill="1" applyBorder="1" applyAlignment="1">
      <alignment horizontal="center" vertical="center" wrapText="1"/>
    </xf>
    <xf numFmtId="0" fontId="68" fillId="26" borderId="85" xfId="0" applyFont="1" applyFill="1" applyBorder="1" applyAlignment="1">
      <alignment horizontal="center" vertical="center" wrapText="1"/>
    </xf>
    <xf numFmtId="0" fontId="68" fillId="26" borderId="86" xfId="0" applyFont="1" applyFill="1" applyBorder="1" applyAlignment="1">
      <alignment horizontal="center" vertical="center" wrapText="1"/>
    </xf>
    <xf numFmtId="0" fontId="68" fillId="26" borderId="87" xfId="0" applyFont="1" applyFill="1" applyBorder="1" applyAlignment="1">
      <alignment horizontal="center" vertical="center" wrapText="1"/>
    </xf>
    <xf numFmtId="169" fontId="10" fillId="26" borderId="46" xfId="19" applyNumberFormat="1" applyFont="1" applyFill="1" applyBorder="1" applyAlignment="1">
      <alignment horizontal="center" vertical="center" wrapText="1"/>
    </xf>
    <xf numFmtId="169" fontId="10" fillId="26" borderId="37" xfId="19" applyNumberFormat="1" applyFont="1" applyFill="1" applyBorder="1" applyAlignment="1">
      <alignment horizontal="center" vertical="center" wrapText="1"/>
    </xf>
    <xf numFmtId="0" fontId="4" fillId="26" borderId="72" xfId="0" applyFont="1" applyFill="1" applyBorder="1" applyAlignment="1">
      <alignment horizontal="center" vertical="center" wrapText="1"/>
    </xf>
    <xf numFmtId="0" fontId="4" fillId="26" borderId="97" xfId="0" applyFont="1" applyFill="1" applyBorder="1" applyAlignment="1">
      <alignment horizontal="center" vertical="center" wrapText="1"/>
    </xf>
    <xf numFmtId="0" fontId="10" fillId="26" borderId="46" xfId="0" applyFont="1" applyFill="1" applyBorder="1" applyAlignment="1">
      <alignment horizontal="center" vertical="center" wrapText="1"/>
    </xf>
    <xf numFmtId="0" fontId="10" fillId="26" borderId="0" xfId="0" applyFont="1" applyFill="1" applyAlignment="1">
      <alignment horizontal="center" vertical="center" wrapText="1"/>
    </xf>
    <xf numFmtId="0" fontId="10" fillId="26" borderId="58" xfId="0" applyFont="1" applyFill="1" applyBorder="1" applyAlignment="1">
      <alignment horizontal="center" vertical="center" wrapText="1"/>
    </xf>
    <xf numFmtId="0" fontId="10" fillId="26" borderId="54" xfId="0" applyFont="1" applyFill="1" applyBorder="1" applyAlignment="1">
      <alignment horizontal="center" vertical="center"/>
    </xf>
    <xf numFmtId="0" fontId="10" fillId="26" borderId="96" xfId="0" applyFont="1" applyFill="1" applyBorder="1" applyAlignment="1">
      <alignment horizontal="center" vertical="center"/>
    </xf>
    <xf numFmtId="0" fontId="10" fillId="26" borderId="53" xfId="0" applyFont="1" applyFill="1" applyBorder="1" applyAlignment="1">
      <alignment horizontal="center" vertical="center"/>
    </xf>
    <xf numFmtId="0" fontId="10" fillId="26" borderId="64" xfId="0" applyFont="1" applyFill="1" applyBorder="1" applyAlignment="1">
      <alignment horizontal="center" vertical="center"/>
    </xf>
    <xf numFmtId="0" fontId="10" fillId="26" borderId="79" xfId="0" applyFont="1" applyFill="1" applyBorder="1" applyAlignment="1">
      <alignment horizontal="center" vertical="center"/>
    </xf>
    <xf numFmtId="0" fontId="10" fillId="26" borderId="74" xfId="0" applyFont="1" applyFill="1" applyBorder="1" applyAlignment="1">
      <alignment horizontal="center" vertical="center"/>
    </xf>
    <xf numFmtId="0" fontId="10" fillId="26" borderId="75" xfId="0" applyFont="1" applyFill="1" applyBorder="1" applyAlignment="1">
      <alignment horizontal="center" vertical="center"/>
    </xf>
    <xf numFmtId="0" fontId="10" fillId="26" borderId="73" xfId="0" applyFont="1" applyFill="1" applyBorder="1" applyAlignment="1">
      <alignment horizontal="center" vertical="center"/>
    </xf>
    <xf numFmtId="0" fontId="4" fillId="26" borderId="76" xfId="0" applyFont="1" applyFill="1" applyBorder="1" applyAlignment="1">
      <alignment horizontal="center" vertical="center" wrapText="1"/>
    </xf>
    <xf numFmtId="0" fontId="10" fillId="26" borderId="80" xfId="0" applyFont="1" applyFill="1" applyBorder="1" applyAlignment="1">
      <alignment horizontal="center" vertical="center"/>
    </xf>
    <xf numFmtId="0" fontId="9" fillId="26" borderId="19" xfId="0" applyFont="1" applyFill="1" applyBorder="1" applyAlignment="1">
      <alignment horizontal="center" vertical="center"/>
    </xf>
    <xf numFmtId="165" fontId="14" fillId="26" borderId="102" xfId="19" applyFont="1" applyFill="1" applyBorder="1" applyAlignment="1">
      <alignment horizontal="center" vertical="center" wrapText="1"/>
    </xf>
    <xf numFmtId="165" fontId="14" fillId="26" borderId="41" xfId="19" applyFont="1" applyFill="1" applyBorder="1" applyAlignment="1">
      <alignment horizontal="center" vertical="center" wrapText="1"/>
    </xf>
    <xf numFmtId="165" fontId="14" fillId="26" borderId="11" xfId="19" applyFont="1" applyFill="1" applyBorder="1" applyAlignment="1">
      <alignment horizontal="center" vertical="center" wrapText="1"/>
    </xf>
    <xf numFmtId="165" fontId="14" fillId="26" borderId="50" xfId="19" applyFont="1" applyFill="1" applyBorder="1" applyAlignment="1">
      <alignment horizontal="center" vertical="center" wrapText="1"/>
    </xf>
    <xf numFmtId="165" fontId="14" fillId="26" borderId="93" xfId="19" applyFont="1" applyFill="1" applyBorder="1" applyAlignment="1">
      <alignment horizontal="center" vertical="center" wrapText="1"/>
    </xf>
    <xf numFmtId="165" fontId="14" fillId="26" borderId="12" xfId="19" applyFont="1" applyFill="1" applyBorder="1" applyAlignment="1">
      <alignment horizontal="center" vertical="center" wrapText="1"/>
    </xf>
    <xf numFmtId="169" fontId="10" fillId="26" borderId="51" xfId="19" applyNumberFormat="1" applyFont="1" applyFill="1" applyBorder="1" applyAlignment="1">
      <alignment horizontal="center" vertical="center" wrapText="1"/>
    </xf>
    <xf numFmtId="169" fontId="10" fillId="26" borderId="16" xfId="19" applyNumberFormat="1" applyFont="1" applyFill="1" applyBorder="1" applyAlignment="1">
      <alignment horizontal="center" vertical="center" wrapText="1"/>
    </xf>
    <xf numFmtId="0" fontId="10" fillId="26" borderId="44" xfId="0" applyFont="1" applyFill="1" applyBorder="1" applyAlignment="1">
      <alignment horizontal="center" vertical="center"/>
    </xf>
    <xf numFmtId="0" fontId="10" fillId="26" borderId="45" xfId="0" applyFont="1" applyFill="1" applyBorder="1" applyAlignment="1">
      <alignment horizontal="center" vertical="center"/>
    </xf>
    <xf numFmtId="0" fontId="10" fillId="26" borderId="46" xfId="0" applyFont="1" applyFill="1" applyBorder="1" applyAlignment="1">
      <alignment horizontal="center" vertical="center"/>
    </xf>
    <xf numFmtId="0" fontId="5" fillId="26" borderId="0" xfId="0" applyFont="1" applyFill="1" applyAlignment="1">
      <alignment horizontal="left" vertical="center"/>
    </xf>
    <xf numFmtId="0" fontId="9" fillId="26" borderId="0" xfId="0" applyFont="1" applyFill="1" applyAlignment="1">
      <alignment horizontal="center" vertical="center"/>
    </xf>
    <xf numFmtId="0" fontId="29" fillId="26" borderId="0" xfId="0" applyFont="1" applyFill="1" applyAlignment="1">
      <alignment horizontal="center" vertical="center" wrapText="1"/>
    </xf>
    <xf numFmtId="0" fontId="12" fillId="29" borderId="16" xfId="0" applyFont="1" applyFill="1" applyBorder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30" fillId="26" borderId="0" xfId="0" applyFont="1" applyFill="1" applyAlignment="1">
      <alignment horizontal="center" vertical="center"/>
    </xf>
    <xf numFmtId="0" fontId="10" fillId="28" borderId="0" xfId="0" applyFont="1" applyFill="1" applyAlignment="1">
      <alignment horizontal="left" vertical="center"/>
    </xf>
    <xf numFmtId="0" fontId="10" fillId="28" borderId="48" xfId="0" applyFont="1" applyFill="1" applyBorder="1" applyAlignment="1">
      <alignment horizontal="left" vertical="center"/>
    </xf>
    <xf numFmtId="0" fontId="10" fillId="28" borderId="58" xfId="0" applyFont="1" applyFill="1" applyBorder="1" applyAlignment="1">
      <alignment horizontal="left" vertical="center"/>
    </xf>
    <xf numFmtId="0" fontId="10" fillId="28" borderId="59" xfId="0" applyFont="1" applyFill="1" applyBorder="1" applyAlignment="1">
      <alignment horizontal="left" vertical="center"/>
    </xf>
    <xf numFmtId="0" fontId="1" fillId="26" borderId="0" xfId="0" applyFont="1" applyFill="1" applyAlignment="1">
      <alignment horizontal="left"/>
    </xf>
    <xf numFmtId="167" fontId="62" fillId="26" borderId="103" xfId="19" applyNumberFormat="1" applyFont="1" applyFill="1" applyBorder="1" applyAlignment="1">
      <alignment horizontal="center" wrapText="1"/>
    </xf>
    <xf numFmtId="0" fontId="62" fillId="26" borderId="0" xfId="0" applyFont="1" applyFill="1" applyAlignment="1">
      <alignment horizontal="center" wrapText="1"/>
    </xf>
    <xf numFmtId="167" fontId="62" fillId="26" borderId="0" xfId="19" applyNumberFormat="1" applyFont="1" applyFill="1" applyBorder="1" applyAlignment="1">
      <alignment horizontal="center" wrapText="1"/>
    </xf>
    <xf numFmtId="3" fontId="59" fillId="25" borderId="18" xfId="0" applyNumberFormat="1" applyFont="1" applyFill="1" applyBorder="1" applyAlignment="1">
      <alignment horizontal="center" vertical="center"/>
    </xf>
    <xf numFmtId="3" fontId="59" fillId="25" borderId="24" xfId="0" applyNumberFormat="1" applyFont="1" applyFill="1" applyBorder="1" applyAlignment="1">
      <alignment horizontal="center" vertical="center"/>
    </xf>
    <xf numFmtId="3" fontId="59" fillId="25" borderId="19" xfId="0" applyNumberFormat="1" applyFont="1" applyFill="1" applyBorder="1" applyAlignment="1">
      <alignment horizontal="center" vertical="center"/>
    </xf>
    <xf numFmtId="3" fontId="59" fillId="25" borderId="38" xfId="0" applyNumberFormat="1" applyFont="1" applyFill="1" applyBorder="1" applyAlignment="1">
      <alignment horizontal="center" vertical="center"/>
    </xf>
    <xf numFmtId="3" fontId="59" fillId="25" borderId="30" xfId="0" applyNumberFormat="1" applyFont="1" applyFill="1" applyBorder="1" applyAlignment="1">
      <alignment horizontal="center" vertical="center"/>
    </xf>
    <xf numFmtId="3" fontId="59" fillId="25" borderId="31" xfId="0" applyNumberFormat="1" applyFont="1" applyFill="1" applyBorder="1" applyAlignment="1">
      <alignment horizontal="center" vertical="center"/>
    </xf>
  </cellXfs>
  <cellStyles count="66">
    <cellStyle name="20% - 强调文字颜色 1" xfId="1" xr:uid="{00000000-0005-0000-0000-000000000000}"/>
    <cellStyle name="20% - 强调文字颜色 2" xfId="2" xr:uid="{00000000-0005-0000-0000-000001000000}"/>
    <cellStyle name="20% - 强调文字颜色 3" xfId="3" xr:uid="{00000000-0005-0000-0000-000002000000}"/>
    <cellStyle name="20% - 强调文字颜色 4" xfId="4" xr:uid="{00000000-0005-0000-0000-000003000000}"/>
    <cellStyle name="20% - 强调文字颜色 5" xfId="5" xr:uid="{00000000-0005-0000-0000-000004000000}"/>
    <cellStyle name="20% - 强调文字颜色 6" xfId="6" xr:uid="{00000000-0005-0000-0000-000005000000}"/>
    <cellStyle name="40% - 强调文字颜色 1" xfId="7" xr:uid="{00000000-0005-0000-0000-000006000000}"/>
    <cellStyle name="40% - 强调文字颜色 2" xfId="8" xr:uid="{00000000-0005-0000-0000-000007000000}"/>
    <cellStyle name="40% - 强调文字颜色 3" xfId="9" xr:uid="{00000000-0005-0000-0000-000008000000}"/>
    <cellStyle name="40% - 强调文字颜色 4" xfId="10" xr:uid="{00000000-0005-0000-0000-000009000000}"/>
    <cellStyle name="40% - 强调文字颜色 5" xfId="11" xr:uid="{00000000-0005-0000-0000-00000A000000}"/>
    <cellStyle name="40% - 强调文字颜色 6" xfId="12" xr:uid="{00000000-0005-0000-0000-00000B000000}"/>
    <cellStyle name="60% - 强调文字颜色 1" xfId="13" xr:uid="{00000000-0005-0000-0000-00000C000000}"/>
    <cellStyle name="60% - 强调文字颜色 2" xfId="14" xr:uid="{00000000-0005-0000-0000-00000D000000}"/>
    <cellStyle name="60% - 强调文字颜色 3" xfId="15" xr:uid="{00000000-0005-0000-0000-00000E000000}"/>
    <cellStyle name="60% - 强调文字颜色 4" xfId="16" xr:uid="{00000000-0005-0000-0000-00000F000000}"/>
    <cellStyle name="60% - 强调文字颜色 5" xfId="17" xr:uid="{00000000-0005-0000-0000-000010000000}"/>
    <cellStyle name="60% - 强调文字颜色 6" xfId="18" xr:uid="{00000000-0005-0000-0000-000011000000}"/>
    <cellStyle name="Comma" xfId="19" builtinId="3"/>
    <cellStyle name="Comma 2" xfId="20" xr:uid="{00000000-0005-0000-0000-000013000000}"/>
    <cellStyle name="Comma 2 6 2 2" xfId="21" xr:uid="{00000000-0005-0000-0000-000014000000}"/>
    <cellStyle name="Currency" xfId="22" builtinId="4"/>
    <cellStyle name="Normal" xfId="0" builtinId="0"/>
    <cellStyle name="Normal 2" xfId="23" xr:uid="{00000000-0005-0000-0000-000017000000}"/>
    <cellStyle name="Normal 2 2" xfId="24" xr:uid="{00000000-0005-0000-0000-000018000000}"/>
    <cellStyle name="Normal 2 2 2" xfId="25" xr:uid="{00000000-0005-0000-0000-000019000000}"/>
    <cellStyle name="Normal 2 2 3" xfId="26" xr:uid="{00000000-0005-0000-0000-00001A000000}"/>
    <cellStyle name="Normal 2 3" xfId="27" xr:uid="{00000000-0005-0000-0000-00001B000000}"/>
    <cellStyle name="Normal 2 5 2 2" xfId="28" xr:uid="{00000000-0005-0000-0000-00001C000000}"/>
    <cellStyle name="Normal 3" xfId="29" xr:uid="{00000000-0005-0000-0000-00001D000000}"/>
    <cellStyle name="Normal 3 2 2 2 2" xfId="30" xr:uid="{00000000-0005-0000-0000-00001E000000}"/>
    <cellStyle name="Normal 3 2 2 2 3" xfId="31" xr:uid="{00000000-0005-0000-0000-00001F000000}"/>
    <cellStyle name="Normal_Book1" xfId="32" xr:uid="{00000000-0005-0000-0000-000020000000}"/>
    <cellStyle name="Normal_new" xfId="33" xr:uid="{00000000-0005-0000-0000-000021000000}"/>
    <cellStyle name="Percent" xfId="34" builtinId="5"/>
    <cellStyle name="Percent 2" xfId="35" xr:uid="{00000000-0005-0000-0000-000023000000}"/>
    <cellStyle name="好" xfId="36" xr:uid="{00000000-0005-0000-0000-000024000000}"/>
    <cellStyle name="好_PEMBAGIAN" xfId="37" xr:uid="{00000000-0005-0000-0000-000025000000}"/>
    <cellStyle name="差" xfId="38" xr:uid="{00000000-0005-0000-0000-000026000000}"/>
    <cellStyle name="差_PEMBAGIAN" xfId="39" xr:uid="{00000000-0005-0000-0000-000027000000}"/>
    <cellStyle name="强调文字颜色 1" xfId="40" xr:uid="{00000000-0005-0000-0000-000028000000}"/>
    <cellStyle name="强调文字颜色 2" xfId="41" xr:uid="{00000000-0005-0000-0000-000029000000}"/>
    <cellStyle name="强调文字颜色 3" xfId="42" xr:uid="{00000000-0005-0000-0000-00002A000000}"/>
    <cellStyle name="强调文字颜色 4" xfId="43" xr:uid="{00000000-0005-0000-0000-00002B000000}"/>
    <cellStyle name="强调文字颜色 5" xfId="44" xr:uid="{00000000-0005-0000-0000-00002C000000}"/>
    <cellStyle name="强调文字颜色 6" xfId="45" xr:uid="{00000000-0005-0000-0000-00002D000000}"/>
    <cellStyle name="标题" xfId="46" xr:uid="{00000000-0005-0000-0000-00002E000000}"/>
    <cellStyle name="标题 1" xfId="47" xr:uid="{00000000-0005-0000-0000-00002F000000}"/>
    <cellStyle name="标题 2" xfId="48" xr:uid="{00000000-0005-0000-0000-000030000000}"/>
    <cellStyle name="标题 3" xfId="49" xr:uid="{00000000-0005-0000-0000-000031000000}"/>
    <cellStyle name="标题 4" xfId="50" xr:uid="{00000000-0005-0000-0000-000032000000}"/>
    <cellStyle name="标题_PEMBAGIAN" xfId="51" xr:uid="{00000000-0005-0000-0000-000033000000}"/>
    <cellStyle name="检查单元格" xfId="52" xr:uid="{00000000-0005-0000-0000-000034000000}"/>
    <cellStyle name="汇总" xfId="53" xr:uid="{00000000-0005-0000-0000-000035000000}"/>
    <cellStyle name="汇总 2" xfId="54" xr:uid="{00000000-0005-0000-0000-000036000000}"/>
    <cellStyle name="注释" xfId="55" xr:uid="{00000000-0005-0000-0000-000037000000}"/>
    <cellStyle name="注释 2" xfId="56" xr:uid="{00000000-0005-0000-0000-000038000000}"/>
    <cellStyle name="注释 3" xfId="57" xr:uid="{00000000-0005-0000-0000-000039000000}"/>
    <cellStyle name="解释性文本" xfId="58" xr:uid="{00000000-0005-0000-0000-00003A000000}"/>
    <cellStyle name="警告文本" xfId="59" xr:uid="{00000000-0005-0000-0000-00003B000000}"/>
    <cellStyle name="计算" xfId="60" xr:uid="{00000000-0005-0000-0000-00003C000000}"/>
    <cellStyle name="输入" xfId="61" xr:uid="{00000000-0005-0000-0000-00003D000000}"/>
    <cellStyle name="输出" xfId="62" xr:uid="{00000000-0005-0000-0000-00003E000000}"/>
    <cellStyle name="输出 2" xfId="63" xr:uid="{00000000-0005-0000-0000-00003F000000}"/>
    <cellStyle name="适中" xfId="64" xr:uid="{00000000-0005-0000-0000-000040000000}"/>
    <cellStyle name="链接单元格" xfId="65" xr:uid="{00000000-0005-0000-0000-000041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703580</xdr:colOff>
      <xdr:row>21</xdr:row>
      <xdr:rowOff>100330</xdr:rowOff>
    </xdr:from>
    <xdr:to>
      <xdr:col>3</xdr:col>
      <xdr:colOff>1036320</xdr:colOff>
      <xdr:row>23</xdr:row>
      <xdr:rowOff>228584</xdr:rowOff>
    </xdr:to>
    <xdr:sp macro="" textlink="">
      <xdr:nvSpPr>
        <xdr:cNvPr id="2" name="AutoShape 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>
        <a:xfrm>
          <a:off x="3072765" y="6586855"/>
          <a:ext cx="3095625" cy="76644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/>
        <a:p>
          <a:pPr algn="ctr" rtl="0">
            <a:lnSpc>
              <a:spcPts val="1200"/>
            </a:lnSpc>
            <a:defRPr sz="1000"/>
          </a:pPr>
          <a:r>
            <a:rPr lang="en-US" sz="1200" b="1">
              <a:solidFill>
                <a:srgbClr val="000000"/>
              </a:solidFill>
              <a:latin typeface="Arial" panose="020B0604020202020204"/>
              <a:cs typeface="Arial" panose="020B0604020202020204"/>
              <a:sym typeface="+mn-ea"/>
            </a:rPr>
            <a:t>{_alejandro_}</a:t>
          </a:r>
        </a:p>
        <a:p>
          <a:pPr algn="ctr" rtl="0">
            <a:lnSpc>
              <a:spcPts val="1200"/>
            </a:lnSpc>
            <a:defRPr sz="1000"/>
          </a:pPr>
          <a:r>
            <a:rPr lang="en-US" sz="1200" b="1">
              <a:solidFill>
                <a:srgbClr val="000000"/>
              </a:solidFill>
              <a:latin typeface="Arial" panose="020B0604020202020204"/>
              <a:cs typeface="Arial" panose="020B0604020202020204"/>
              <a:sym typeface="+mn-ea"/>
            </a:rPr>
            <a:t>{_sets_}</a:t>
          </a:r>
        </a:p>
      </xdr:txBody>
    </xdr:sp>
    <xdr:clientData/>
  </xdr:twoCellAnchor>
  <xdr:twoCellAnchor editAs="oneCell">
    <xdr:from>
      <xdr:col>1</xdr:col>
      <xdr:colOff>990600</xdr:colOff>
      <xdr:row>17</xdr:row>
      <xdr:rowOff>28575</xdr:rowOff>
    </xdr:from>
    <xdr:to>
      <xdr:col>3</xdr:col>
      <xdr:colOff>762000</xdr:colOff>
      <xdr:row>18</xdr:row>
      <xdr:rowOff>285750</xdr:rowOff>
    </xdr:to>
    <xdr:pic>
      <xdr:nvPicPr>
        <xdr:cNvPr id="166920" name="Picture 1438">
          <a:extLst>
            <a:ext uri="{FF2B5EF4-FFF2-40B4-BE49-F238E27FC236}">
              <a16:creationId xmlns:a16="http://schemas.microsoft.com/office/drawing/2014/main" id="{00000000-0008-0000-0000-0000088C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62325" y="5238750"/>
          <a:ext cx="25336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</xdr:col>
      <xdr:colOff>1423670</xdr:colOff>
      <xdr:row>49</xdr:row>
      <xdr:rowOff>61595</xdr:rowOff>
    </xdr:from>
    <xdr:ext cx="1539900" cy="407035"/>
    <xdr:sp macro="" textlink="">
      <xdr:nvSpPr>
        <xdr:cNvPr id="3" name="TextBox 36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6565265" y="14806295"/>
          <a:ext cx="1529715" cy="40703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请用</a:t>
          </a:r>
          <a:r>
            <a:rPr 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LTA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胶带封箱</a:t>
          </a:r>
          <a:r>
            <a:rPr lang="zh-CN" altLang="en-US" sz="1200">
              <a:solidFill>
                <a:srgbClr val="FFFF00"/>
              </a:solidFill>
            </a:rPr>
            <a:t> 。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请看图片</a:t>
          </a:r>
          <a:endParaRPr lang="en-US" sz="1200">
            <a:solidFill>
              <a:srgbClr val="FFFF00"/>
            </a:solidFill>
          </a:endParaRPr>
        </a:p>
      </xdr:txBody>
    </xdr:sp>
    <xdr:clientData/>
  </xdr:oneCellAnchor>
  <xdr:oneCellAnchor>
    <xdr:from>
      <xdr:col>6</xdr:col>
      <xdr:colOff>513551</xdr:colOff>
      <xdr:row>48</xdr:row>
      <xdr:rowOff>141763</xdr:rowOff>
    </xdr:from>
    <xdr:ext cx="1349794" cy="604361"/>
    <xdr:sp macro="" textlink="">
      <xdr:nvSpPr>
        <xdr:cNvPr id="4" name="TextBox 4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457690" y="14648180"/>
          <a:ext cx="1350010" cy="60388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800"/>
            </a:lnSpc>
          </a:pPr>
          <a:r>
            <a:rPr lang="zh-CN" altLang="en-US" sz="1400">
              <a:solidFill>
                <a:srgbClr val="FFFF00"/>
              </a:solidFill>
            </a:rPr>
            <a:t>编号，码数，</a:t>
          </a:r>
          <a:br>
            <a:rPr lang="en-US" altLang="zh-CN" sz="1400">
              <a:solidFill>
                <a:srgbClr val="FFFF00"/>
              </a:solidFill>
            </a:rPr>
          </a:br>
          <a:r>
            <a:rPr lang="zh-CN" altLang="en-US" sz="1400">
              <a:solidFill>
                <a:srgbClr val="FFFF00"/>
              </a:solidFill>
            </a:rPr>
            <a:t>生产号码</a:t>
          </a:r>
          <a:endParaRPr lang="en-US" sz="1400">
            <a:solidFill>
              <a:srgbClr val="FFFF00"/>
            </a:solidFill>
          </a:endParaRPr>
        </a:p>
      </xdr:txBody>
    </xdr:sp>
    <xdr:clientData/>
  </xdr:oneCellAnchor>
  <xdr:twoCellAnchor>
    <xdr:from>
      <xdr:col>6</xdr:col>
      <xdr:colOff>271780</xdr:colOff>
      <xdr:row>39</xdr:row>
      <xdr:rowOff>118110</xdr:rowOff>
    </xdr:from>
    <xdr:to>
      <xdr:col>9</xdr:col>
      <xdr:colOff>354345</xdr:colOff>
      <xdr:row>42</xdr:row>
      <xdr:rowOff>132144</xdr:rowOff>
    </xdr:to>
    <xdr:sp macro="" textlink="">
      <xdr:nvSpPr>
        <xdr:cNvPr id="5" name="TextBox 5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9216390" y="12567285"/>
          <a:ext cx="2029460" cy="69024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200" b="1" baseline="0"/>
            <a:t>FLERA</a:t>
          </a:r>
          <a:r>
            <a:rPr lang="zh-CN" altLang="en-US" sz="1200" b="1" baseline="0"/>
            <a:t> </a:t>
          </a:r>
          <a:r>
            <a:rPr lang="en-US" altLang="zh-CN" sz="1200" b="1" baseline="0"/>
            <a:t> 37</a:t>
          </a:r>
          <a:r>
            <a:rPr lang="id-ID" sz="1200" b="1"/>
            <a:t> </a:t>
          </a:r>
          <a:r>
            <a:rPr lang="en-US" sz="1200" b="1"/>
            <a:t>K19</a:t>
          </a:r>
          <a:endParaRPr lang="en-US" sz="1200" b="1" baseline="0"/>
        </a:p>
        <a:p>
          <a:pPr algn="ctr"/>
          <a:r>
            <a:rPr lang="en-US" sz="1200" b="1" baseline="0"/>
            <a:t>MADE IN CHINA</a:t>
          </a:r>
        </a:p>
        <a:p>
          <a:pPr algn="ctr"/>
          <a:r>
            <a:rPr lang="en-US" sz="1200" b="1" baseline="0"/>
            <a:t>MAN MADE MATERIAL  </a:t>
          </a:r>
          <a:r>
            <a:rPr lang="zh-CN" altLang="en-US" sz="1200" b="1" baseline="0"/>
            <a:t> </a:t>
          </a:r>
          <a:endParaRPr lang="en-US" sz="1200" b="1"/>
        </a:p>
      </xdr:txBody>
    </xdr:sp>
    <xdr:clientData/>
  </xdr:twoCellAnchor>
  <xdr:twoCellAnchor>
    <xdr:from>
      <xdr:col>8</xdr:col>
      <xdr:colOff>153035</xdr:colOff>
      <xdr:row>42</xdr:row>
      <xdr:rowOff>106680</xdr:rowOff>
    </xdr:from>
    <xdr:to>
      <xdr:col>8</xdr:col>
      <xdr:colOff>153035</xdr:colOff>
      <xdr:row>45</xdr:row>
      <xdr:rowOff>120714</xdr:rowOff>
    </xdr:to>
    <xdr:cxnSp macro="">
      <xdr:nvCxnSpPr>
        <xdr:cNvPr id="6" name="Straight Arrow Connector 5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CxnSpPr/>
      </xdr:nvCxnSpPr>
      <xdr:spPr>
        <a:xfrm>
          <a:off x="10389235" y="13241655"/>
          <a:ext cx="0" cy="690245"/>
        </a:xfrm>
        <a:prstGeom prst="straightConnector1">
          <a:avLst/>
        </a:prstGeom>
        <a:ln w="12700"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571500</xdr:colOff>
      <xdr:row>39</xdr:row>
      <xdr:rowOff>114300</xdr:rowOff>
    </xdr:from>
    <xdr:to>
      <xdr:col>13</xdr:col>
      <xdr:colOff>390525</xdr:colOff>
      <xdr:row>45</xdr:row>
      <xdr:rowOff>9525</xdr:rowOff>
    </xdr:to>
    <xdr:pic>
      <xdr:nvPicPr>
        <xdr:cNvPr id="166925" name="Picture 3">
          <a:extLst>
            <a:ext uri="{FF2B5EF4-FFF2-40B4-BE49-F238E27FC236}">
              <a16:creationId xmlns:a16="http://schemas.microsoft.com/office/drawing/2014/main" id="{00000000-0008-0000-0000-00000D8C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53975" y="12515850"/>
          <a:ext cx="1114425" cy="1266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11</xdr:col>
      <xdr:colOff>571500</xdr:colOff>
      <xdr:row>45</xdr:row>
      <xdr:rowOff>76200</xdr:rowOff>
    </xdr:from>
    <xdr:to>
      <xdr:col>13</xdr:col>
      <xdr:colOff>390525</xdr:colOff>
      <xdr:row>51</xdr:row>
      <xdr:rowOff>114300</xdr:rowOff>
    </xdr:to>
    <xdr:pic>
      <xdr:nvPicPr>
        <xdr:cNvPr id="166926" name="Picture 3">
          <a:extLst>
            <a:ext uri="{FF2B5EF4-FFF2-40B4-BE49-F238E27FC236}">
              <a16:creationId xmlns:a16="http://schemas.microsoft.com/office/drawing/2014/main" id="{00000000-0008-0000-0000-00000E8C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53975" y="13849350"/>
          <a:ext cx="1114425" cy="1428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447675</xdr:colOff>
      <xdr:row>39</xdr:row>
      <xdr:rowOff>114300</xdr:rowOff>
    </xdr:from>
    <xdr:to>
      <xdr:col>17</xdr:col>
      <xdr:colOff>28575</xdr:colOff>
      <xdr:row>43</xdr:row>
      <xdr:rowOff>19050</xdr:rowOff>
    </xdr:to>
    <xdr:pic>
      <xdr:nvPicPr>
        <xdr:cNvPr id="166927" name="Picture 3">
          <a:extLst>
            <a:ext uri="{FF2B5EF4-FFF2-40B4-BE49-F238E27FC236}">
              <a16:creationId xmlns:a16="http://schemas.microsoft.com/office/drawing/2014/main" id="{00000000-0008-0000-0000-00000F8C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06725" y="12515850"/>
          <a:ext cx="190500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</xdr:col>
      <xdr:colOff>85725</xdr:colOff>
      <xdr:row>43</xdr:row>
      <xdr:rowOff>95250</xdr:rowOff>
    </xdr:from>
    <xdr:to>
      <xdr:col>16</xdr:col>
      <xdr:colOff>1009650</xdr:colOff>
      <xdr:row>51</xdr:row>
      <xdr:rowOff>28575</xdr:rowOff>
    </xdr:to>
    <xdr:pic>
      <xdr:nvPicPr>
        <xdr:cNvPr id="166928" name="Picture 2">
          <a:extLst>
            <a:ext uri="{FF2B5EF4-FFF2-40B4-BE49-F238E27FC236}">
              <a16:creationId xmlns:a16="http://schemas.microsoft.com/office/drawing/2014/main" id="{00000000-0008-0000-0000-0000108C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02025" y="13411200"/>
          <a:ext cx="923925" cy="1781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Y52"/>
  <sheetViews>
    <sheetView topLeftCell="A22" zoomScale="51" workbookViewId="0">
      <selection activeCell="E1" sqref="E1:E1048576"/>
    </sheetView>
  </sheetViews>
  <sheetFormatPr defaultColWidth="11.42578125" defaultRowHeight="18"/>
  <cols>
    <col min="1" max="1" width="35.5703125" style="71" customWidth="1"/>
    <col min="2" max="2" width="24.42578125" style="71" customWidth="1"/>
    <col min="3" max="3" width="17" style="71" customWidth="1"/>
    <col min="4" max="4" width="24.85546875" style="73" customWidth="1"/>
    <col min="5" max="5" width="26.140625" style="71" bestFit="1" customWidth="1"/>
    <col min="6" max="6" width="12.28515625" style="71" customWidth="1"/>
    <col min="7" max="13" width="9.7109375" style="71" customWidth="1"/>
    <col min="14" max="14" width="13.140625" style="71" customWidth="1"/>
    <col min="15" max="15" width="13.5703125" style="71" customWidth="1"/>
    <col min="16" max="16" width="12.85546875" style="71" customWidth="1"/>
    <col min="17" max="17" width="22" style="71" customWidth="1"/>
    <col min="18" max="18" width="20.42578125" style="71" customWidth="1"/>
    <col min="19" max="19" width="13.140625" style="74" customWidth="1"/>
    <col min="20" max="20" width="14.140625" style="74" customWidth="1"/>
    <col min="21" max="21" width="20.28515625" style="75" customWidth="1"/>
    <col min="22" max="22" width="11.42578125" style="76"/>
    <col min="23" max="16384" width="11.42578125" style="71"/>
  </cols>
  <sheetData>
    <row r="1" spans="1:23" ht="23.25">
      <c r="A1" s="345" t="s">
        <v>0</v>
      </c>
      <c r="B1" s="345"/>
      <c r="C1" s="345"/>
      <c r="D1" s="77"/>
      <c r="E1" s="78"/>
      <c r="F1" s="78"/>
      <c r="G1" s="77"/>
      <c r="K1" s="242" t="s">
        <v>1</v>
      </c>
      <c r="L1" s="242"/>
      <c r="M1" s="242"/>
      <c r="N1" s="242"/>
      <c r="O1" s="242"/>
      <c r="P1" s="242"/>
      <c r="Q1" s="242"/>
      <c r="R1" s="242"/>
      <c r="S1" s="76"/>
      <c r="T1" s="76"/>
      <c r="U1" s="76"/>
    </row>
    <row r="2" spans="1:23" ht="23.25" customHeight="1">
      <c r="A2" s="79" t="s">
        <v>2</v>
      </c>
      <c r="B2" s="80" t="s">
        <v>3</v>
      </c>
      <c r="C2" s="81"/>
      <c r="D2" s="82"/>
      <c r="E2" s="346"/>
      <c r="F2" s="346"/>
      <c r="G2" s="346"/>
      <c r="H2" s="346"/>
      <c r="K2" s="347" t="s">
        <v>4</v>
      </c>
      <c r="L2" s="347"/>
      <c r="M2" s="347"/>
      <c r="N2" s="347"/>
      <c r="O2" s="347"/>
      <c r="P2" s="347"/>
      <c r="Q2" s="347"/>
      <c r="R2" s="347"/>
      <c r="S2" s="182"/>
      <c r="T2" s="182"/>
      <c r="U2" s="182"/>
    </row>
    <row r="3" spans="1:23" ht="21.75" customHeight="1">
      <c r="A3" s="83"/>
      <c r="B3" s="84"/>
      <c r="C3" s="85"/>
      <c r="E3" s="348" t="s">
        <v>5</v>
      </c>
      <c r="F3" s="348"/>
      <c r="G3" s="348"/>
      <c r="H3" s="348"/>
      <c r="K3" s="349" t="s">
        <v>6</v>
      </c>
      <c r="L3" s="349"/>
      <c r="M3" s="349"/>
      <c r="N3" s="349"/>
      <c r="O3" s="349"/>
      <c r="P3" s="349"/>
      <c r="Q3" s="349"/>
      <c r="R3" s="349"/>
      <c r="S3" s="71"/>
      <c r="T3" s="71"/>
      <c r="U3" s="71"/>
    </row>
    <row r="4" spans="1:23" ht="21.75" customHeight="1">
      <c r="A4" s="83" t="s">
        <v>7</v>
      </c>
      <c r="B4" s="84" t="s">
        <v>3</v>
      </c>
      <c r="C4" s="86"/>
      <c r="E4" s="333"/>
      <c r="F4" s="333"/>
      <c r="G4" s="333"/>
      <c r="H4" s="333"/>
      <c r="K4" s="350" t="s">
        <v>8</v>
      </c>
      <c r="L4" s="350"/>
      <c r="M4" s="350"/>
      <c r="N4" s="350"/>
      <c r="O4" s="350"/>
      <c r="P4" s="350"/>
      <c r="Q4" s="350"/>
      <c r="R4" s="350"/>
      <c r="S4" s="183"/>
      <c r="T4" s="183"/>
      <c r="U4" s="183"/>
    </row>
    <row r="5" spans="1:23" ht="21.75" customHeight="1">
      <c r="A5" s="83" t="s">
        <v>9</v>
      </c>
      <c r="B5" s="351" t="s">
        <v>10</v>
      </c>
      <c r="C5" s="352"/>
      <c r="D5" s="87"/>
      <c r="E5" s="333"/>
      <c r="F5" s="333"/>
      <c r="G5" s="333"/>
      <c r="H5" s="333"/>
      <c r="K5" s="350" t="s">
        <v>11</v>
      </c>
      <c r="L5" s="350"/>
      <c r="M5" s="350"/>
      <c r="N5" s="350"/>
      <c r="O5" s="350"/>
      <c r="P5" s="350"/>
      <c r="Q5" s="350"/>
      <c r="R5" s="350"/>
      <c r="S5" s="183"/>
      <c r="T5" s="183"/>
      <c r="U5" s="183"/>
    </row>
    <row r="6" spans="1:23" ht="21.75" customHeight="1">
      <c r="A6" s="88"/>
      <c r="B6" s="353"/>
      <c r="C6" s="354"/>
      <c r="D6" s="87"/>
      <c r="E6" s="333"/>
      <c r="F6" s="333"/>
      <c r="G6" s="333"/>
      <c r="H6" s="333"/>
      <c r="K6" s="350"/>
      <c r="L6" s="350"/>
      <c r="M6" s="350"/>
      <c r="N6" s="350"/>
      <c r="O6" s="350"/>
      <c r="P6" s="350"/>
      <c r="Q6" s="350"/>
      <c r="R6" s="350"/>
      <c r="S6" s="350"/>
      <c r="T6" s="143"/>
    </row>
    <row r="7" spans="1:23">
      <c r="I7" s="73"/>
    </row>
    <row r="8" spans="1:23" ht="15.75" customHeight="1">
      <c r="A8" s="247" t="s">
        <v>12</v>
      </c>
      <c r="B8" s="252" t="s">
        <v>13</v>
      </c>
      <c r="C8" s="252" t="s">
        <v>14</v>
      </c>
      <c r="D8" s="255" t="s">
        <v>15</v>
      </c>
      <c r="E8" s="208" t="s">
        <v>16</v>
      </c>
      <c r="F8" s="320" t="s">
        <v>17</v>
      </c>
      <c r="G8" s="342" t="s">
        <v>18</v>
      </c>
      <c r="H8" s="343"/>
      <c r="I8" s="343"/>
      <c r="J8" s="344"/>
      <c r="K8" s="328" t="s">
        <v>19</v>
      </c>
      <c r="L8" s="329"/>
      <c r="M8" s="329"/>
      <c r="N8" s="330"/>
      <c r="O8" s="334" t="s">
        <v>20</v>
      </c>
      <c r="P8" s="337" t="s">
        <v>21</v>
      </c>
      <c r="Q8" s="340" t="s">
        <v>22</v>
      </c>
      <c r="R8" s="316" t="s">
        <v>23</v>
      </c>
    </row>
    <row r="9" spans="1:23" ht="21" customHeight="1">
      <c r="A9" s="248"/>
      <c r="B9" s="253"/>
      <c r="C9" s="254"/>
      <c r="D9" s="256"/>
      <c r="E9" s="209"/>
      <c r="F9" s="321"/>
      <c r="G9" s="326" t="s">
        <v>24</v>
      </c>
      <c r="H9" s="255" t="s">
        <v>25</v>
      </c>
      <c r="I9" s="255" t="s">
        <v>26</v>
      </c>
      <c r="J9" s="324" t="s">
        <v>27</v>
      </c>
      <c r="K9" s="326" t="s">
        <v>28</v>
      </c>
      <c r="L9" s="255" t="s">
        <v>29</v>
      </c>
      <c r="M9" s="255" t="s">
        <v>30</v>
      </c>
      <c r="N9" s="208" t="s">
        <v>31</v>
      </c>
      <c r="O9" s="335"/>
      <c r="P9" s="338"/>
      <c r="Q9" s="341"/>
      <c r="R9" s="317"/>
    </row>
    <row r="10" spans="1:23">
      <c r="A10" s="249"/>
      <c r="B10" s="89" t="s">
        <v>32</v>
      </c>
      <c r="C10" s="90" t="s">
        <v>33</v>
      </c>
      <c r="D10" s="257"/>
      <c r="E10" s="210"/>
      <c r="F10" s="322"/>
      <c r="G10" s="327"/>
      <c r="H10" s="323"/>
      <c r="I10" s="323"/>
      <c r="J10" s="325"/>
      <c r="K10" s="327"/>
      <c r="L10" s="323"/>
      <c r="M10" s="323"/>
      <c r="N10" s="332"/>
      <c r="O10" s="336"/>
      <c r="P10" s="339"/>
      <c r="Q10" s="184" t="s">
        <v>34</v>
      </c>
      <c r="R10" s="185" t="s">
        <v>34</v>
      </c>
    </row>
    <row r="11" spans="1:23" s="72" customFormat="1" ht="27.75" customHeight="1">
      <c r="A11" s="250"/>
      <c r="B11" s="91"/>
      <c r="C11" s="92"/>
      <c r="D11" s="93"/>
      <c r="E11" s="94" t="s">
        <v>35</v>
      </c>
      <c r="F11" s="211"/>
      <c r="G11" s="95"/>
      <c r="H11" s="95"/>
      <c r="I11" s="95" t="str">
        <f>IF(SUMIF('packing list'!$M$5:$M$28,I$9,'packing list'!$K$5:$K$28)=0,"",SUMIF('packing list'!$M$5:$M$28,I$9,'packing list'!$K$5:$K$28))</f>
        <v/>
      </c>
      <c r="J11" s="95"/>
      <c r="K11" s="144"/>
      <c r="L11" s="95"/>
      <c r="M11" s="95" t="str">
        <f>IF(SUMIF('packing list'!$M$5:$M$28,M$9,'packing list'!$K$5:$K$28)=0,"",SUMIF('packing list'!$M$5:$M$28,M$9,'packing list'!$K$5:$K$28))</f>
        <v/>
      </c>
      <c r="N11" s="145" t="str">
        <f>IF(SUMIF('packing list'!$M$5:$M$28,N$9,'packing list'!$K$5:$K$28)=0,"",SUMIF('packing list'!$M$5:$M$28,N$9,'packing list'!$K$5:$K$28))</f>
        <v/>
      </c>
      <c r="O11" s="146">
        <f>SUM(G11:J11)*12+SUM(K11:N11)*6</f>
        <v>0</v>
      </c>
      <c r="P11" s="147">
        <f>SUM(G11:N11)</f>
        <v>0</v>
      </c>
      <c r="Q11" s="186"/>
      <c r="R11" s="187">
        <f>Q11*O11</f>
        <v>0</v>
      </c>
      <c r="V11" s="135"/>
    </row>
    <row r="12" spans="1:23" s="72" customFormat="1" ht="27.75" customHeight="1">
      <c r="A12" s="251"/>
      <c r="B12" s="96"/>
      <c r="C12" s="97"/>
      <c r="D12" s="98"/>
      <c r="E12" s="94" t="s">
        <v>35</v>
      </c>
      <c r="F12" s="212"/>
      <c r="G12" s="99"/>
      <c r="H12" s="99"/>
      <c r="I12" s="99"/>
      <c r="J12" s="99" t="str">
        <f>IF(SUMIF('packing list'!$M$5:$M$28,J$9,'packing list'!$X$5:$X$28)=0,"",SUMIF('packing list'!$M$5:$M$28,J$9,'packing list'!$X$5:$X$28))</f>
        <v/>
      </c>
      <c r="K12" s="148" t="str">
        <f>IF(SUMIF('packing list'!$M$5:$M$28,K$9,'packing list'!$X$5:$X$28)=0,"",SUMIF('packing list'!$M$5:$M$28,K$9,'packing list'!$X$5:$X$28))</f>
        <v/>
      </c>
      <c r="L12" s="99" t="str">
        <f>IF(SUMIF('packing list'!$M$5:$M$28,L$9,'packing list'!$X$5:$X$28)=0,"",SUMIF('packing list'!$M$5:$M$28,L$9,'packing list'!$X$5:$X$28))</f>
        <v/>
      </c>
      <c r="M12" s="99" t="str">
        <f>IF(SUMIF('packing list'!$M$5:$M$28,M$9,'packing list'!$X$5:$X$28)=0,"",SUMIF('packing list'!$M$5:$M$28,M$9,'packing list'!$X$5:$X$28))</f>
        <v/>
      </c>
      <c r="N12" s="149" t="str">
        <f>IF(SUMIF('packing list'!$M$5:$M$28,N$9,'packing list'!$X$5:$X$28)=0,"",SUMIF('packing list'!$M$5:$M$28,N$9,'packing list'!$X$5:$X$28))</f>
        <v/>
      </c>
      <c r="O12" s="146">
        <f>SUM(G12:J12)*12+SUM(K12:N12)*6</f>
        <v>0</v>
      </c>
      <c r="P12" s="147">
        <f>SUM(G12:N12)</f>
        <v>0</v>
      </c>
      <c r="Q12" s="186"/>
      <c r="R12" s="187">
        <f>Q12*O12</f>
        <v>0</v>
      </c>
      <c r="V12" s="135"/>
    </row>
    <row r="13" spans="1:23" s="72" customFormat="1" ht="27.75" customHeight="1">
      <c r="A13" s="100"/>
      <c r="B13" s="99"/>
      <c r="C13" s="99"/>
      <c r="D13" s="98"/>
      <c r="E13" s="94" t="s">
        <v>35</v>
      </c>
      <c r="F13" s="212"/>
      <c r="G13" s="95" t="str">
        <f>IF(SUMIF('packing list'!$M$36:$M$59,G$9,'packing list'!$K$36:$K$59)=0,"",SUMIF('packing list'!$M$36:$M$59,G$9,'packing list'!$K$36:$K$59))</f>
        <v/>
      </c>
      <c r="H13" s="95" t="str">
        <f>IF(SUMIF('packing list'!$M$36:$M$59,H$9,'packing list'!$K$36:$K$59)=0,"",SUMIF('packing list'!$M$36:$M$59,H$9,'packing list'!$K$36:$K$59))</f>
        <v/>
      </c>
      <c r="I13" s="95" t="str">
        <f>IF(SUMIF('packing list'!$M$36:$M$59,I$9,'packing list'!$K$36:$K$59)=0,"",SUMIF('packing list'!$M$36:$M$59,I$9,'packing list'!$K$36:$K$59))</f>
        <v/>
      </c>
      <c r="J13" s="95" t="str">
        <f>IF(SUMIF('packing list'!$M$36:$M$59,J$9,'packing list'!$K$36:$K$59)=0,"",SUMIF('packing list'!$M$36:$M$59,J$9,'packing list'!$K$36:$K$59))</f>
        <v/>
      </c>
      <c r="K13" s="95"/>
      <c r="L13" s="95" t="str">
        <f>IF(SUMIF('packing list'!$M$36:$M$59,L$9,'packing list'!$K$36:$K$59)=0,"",SUMIF('packing list'!$M$36:$M$59,L$9,'packing list'!$K$36:$K$59))</f>
        <v/>
      </c>
      <c r="M13" s="95" t="str">
        <f>IF(SUMIF('packing list'!$M$36:$M$59,M$9,'packing list'!$K$36:$K$59)=0,"",SUMIF('packing list'!$M$36:$M$59,M$9,'packing list'!$K$36:$K$59))</f>
        <v/>
      </c>
      <c r="N13" s="150" t="str">
        <f>IF(SUMIF('packing list'!$M$36:$M$59,N$9,'packing list'!$K$36:$K$59)=0,"",SUMIF('packing list'!$M$36:$M$59,N$9,'packing list'!$K$36:$K$59))</f>
        <v/>
      </c>
      <c r="O13" s="146">
        <f>SUM(G13:J13)*12+SUM(K13:N13)*6</f>
        <v>0</v>
      </c>
      <c r="P13" s="147">
        <f>SUM(G13:N13)</f>
        <v>0</v>
      </c>
      <c r="Q13" s="186"/>
      <c r="R13" s="187"/>
      <c r="V13" s="135"/>
    </row>
    <row r="14" spans="1:23" s="72" customFormat="1" ht="27.75" customHeight="1">
      <c r="A14" s="101"/>
      <c r="B14" s="102"/>
      <c r="C14" s="103"/>
      <c r="D14" s="104"/>
      <c r="E14" s="105"/>
      <c r="F14" s="213"/>
      <c r="G14" s="106"/>
      <c r="H14" s="106"/>
      <c r="I14" s="106"/>
      <c r="J14" s="106"/>
      <c r="K14" s="106"/>
      <c r="L14" s="106"/>
      <c r="M14" s="106"/>
      <c r="N14" s="151"/>
      <c r="O14" s="152"/>
      <c r="P14" s="153"/>
      <c r="Q14" s="188"/>
      <c r="R14" s="189"/>
      <c r="V14" s="135"/>
    </row>
    <row r="15" spans="1:23" ht="27.75" customHeight="1">
      <c r="O15" s="154">
        <f>SUM(O11:O14)</f>
        <v>0</v>
      </c>
      <c r="P15" s="154">
        <f>SUM(P11:P14)</f>
        <v>0</v>
      </c>
      <c r="Q15" s="190"/>
      <c r="R15" s="191">
        <f>SUM(R11:R14)</f>
        <v>0</v>
      </c>
    </row>
    <row r="16" spans="1:23" ht="36.75" customHeight="1">
      <c r="A16" s="107" t="s">
        <v>36</v>
      </c>
      <c r="B16" s="230"/>
      <c r="C16" s="230"/>
      <c r="D16" s="231"/>
      <c r="V16" s="192"/>
      <c r="W16" s="193"/>
    </row>
    <row r="17" spans="1:25" ht="28.5" customHeight="1">
      <c r="A17" s="108" t="s">
        <v>37</v>
      </c>
      <c r="B17" s="232"/>
      <c r="C17" s="232"/>
      <c r="D17" s="233"/>
      <c r="F17" s="214" t="s">
        <v>38</v>
      </c>
      <c r="G17" s="234"/>
      <c r="H17" s="215"/>
      <c r="I17" s="214" t="s">
        <v>39</v>
      </c>
      <c r="J17" s="215"/>
      <c r="K17" s="214" t="s">
        <v>40</v>
      </c>
      <c r="L17" s="234"/>
      <c r="M17" s="331"/>
      <c r="N17" s="234"/>
      <c r="O17" s="234"/>
      <c r="P17" s="234"/>
      <c r="Q17" s="215"/>
      <c r="R17" s="318" t="s">
        <v>41</v>
      </c>
      <c r="T17" s="75"/>
      <c r="U17" s="174"/>
      <c r="V17" s="194"/>
    </row>
    <row r="18" spans="1:25" ht="24.75" customHeight="1">
      <c r="A18" s="109" t="s">
        <v>42</v>
      </c>
      <c r="B18" s="226"/>
      <c r="C18" s="226"/>
      <c r="D18" s="227"/>
      <c r="F18" s="235"/>
      <c r="G18" s="236"/>
      <c r="H18" s="237"/>
      <c r="I18" s="216"/>
      <c r="J18" s="217"/>
      <c r="K18" s="155">
        <f>'packing list'!B4</f>
        <v>35</v>
      </c>
      <c r="L18" s="156">
        <f t="shared" ref="L18:Q18" si="0">K18+1</f>
        <v>36</v>
      </c>
      <c r="M18" s="156">
        <f t="shared" si="0"/>
        <v>37</v>
      </c>
      <c r="N18" s="156">
        <f t="shared" si="0"/>
        <v>38</v>
      </c>
      <c r="O18" s="156">
        <f t="shared" si="0"/>
        <v>39</v>
      </c>
      <c r="P18" s="156">
        <f t="shared" si="0"/>
        <v>40</v>
      </c>
      <c r="Q18" s="195">
        <f t="shared" si="0"/>
        <v>41</v>
      </c>
      <c r="R18" s="319"/>
      <c r="T18" s="75"/>
      <c r="U18" s="192"/>
      <c r="V18" s="193"/>
    </row>
    <row r="19" spans="1:25" ht="24.75" customHeight="1">
      <c r="A19" s="110" t="s">
        <v>43</v>
      </c>
      <c r="B19" s="228"/>
      <c r="C19" s="228"/>
      <c r="D19" s="229"/>
      <c r="F19" s="238">
        <f>C11</f>
        <v>0</v>
      </c>
      <c r="G19" s="239"/>
      <c r="H19" s="240"/>
      <c r="I19" s="206">
        <f>D11</f>
        <v>0</v>
      </c>
      <c r="J19" s="207"/>
      <c r="K19" s="157"/>
      <c r="L19" s="158"/>
      <c r="M19" s="158"/>
      <c r="N19" s="158"/>
      <c r="O19" s="158"/>
      <c r="P19" s="158"/>
      <c r="Q19" s="196">
        <f>'packing list'!H29</f>
        <v>0</v>
      </c>
      <c r="R19" s="197">
        <f>SUM(K19:Q19)</f>
        <v>0</v>
      </c>
      <c r="T19" s="75"/>
      <c r="U19" s="192"/>
      <c r="V19" s="193"/>
      <c r="W19" s="198"/>
      <c r="X19" s="198"/>
    </row>
    <row r="20" spans="1:25" ht="24.75" customHeight="1">
      <c r="A20" s="111" t="s">
        <v>44</v>
      </c>
      <c r="B20" s="222" t="s">
        <v>45</v>
      </c>
      <c r="C20" s="222"/>
      <c r="D20" s="223"/>
      <c r="F20" s="241"/>
      <c r="G20" s="242"/>
      <c r="H20" s="243"/>
      <c r="I20" s="206">
        <f>D12</f>
        <v>0</v>
      </c>
      <c r="J20" s="207"/>
      <c r="K20" s="159"/>
      <c r="L20" s="160"/>
      <c r="M20" s="160"/>
      <c r="N20" s="160"/>
      <c r="O20" s="160"/>
      <c r="P20" s="160"/>
      <c r="Q20" s="199">
        <f>'packing list'!U29</f>
        <v>0</v>
      </c>
      <c r="R20" s="200">
        <f>SUM(K20:Q20)</f>
        <v>0</v>
      </c>
      <c r="T20" s="75"/>
      <c r="U20" s="192"/>
      <c r="V20" s="193"/>
      <c r="W20" s="198"/>
      <c r="X20" s="198"/>
    </row>
    <row r="21" spans="1:25" ht="24.75" customHeight="1">
      <c r="A21" s="112"/>
      <c r="B21" s="224"/>
      <c r="C21" s="224"/>
      <c r="D21" s="225"/>
      <c r="F21" s="244"/>
      <c r="G21" s="245"/>
      <c r="H21" s="246"/>
      <c r="I21" s="206">
        <f>D13</f>
        <v>0</v>
      </c>
      <c r="J21" s="207"/>
      <c r="K21" s="159"/>
      <c r="L21" s="159"/>
      <c r="M21" s="159"/>
      <c r="N21" s="159"/>
      <c r="O21" s="159"/>
      <c r="P21" s="159"/>
      <c r="Q21" s="199">
        <f>'packing list'!U30</f>
        <v>0</v>
      </c>
      <c r="R21" s="200">
        <f>SUM(K21:Q21)</f>
        <v>0</v>
      </c>
      <c r="T21" s="75"/>
      <c r="U21" s="192"/>
      <c r="V21" s="193"/>
      <c r="W21" s="198"/>
      <c r="X21" s="198"/>
    </row>
    <row r="22" spans="1:25" ht="24.75" customHeight="1">
      <c r="A22" s="113" t="s">
        <v>46</v>
      </c>
      <c r="B22" s="226"/>
      <c r="C22" s="226"/>
      <c r="D22" s="227"/>
      <c r="F22" s="76"/>
      <c r="G22" s="76"/>
      <c r="I22" s="115"/>
      <c r="J22" s="115"/>
      <c r="K22" s="161">
        <f t="shared" ref="K22:Q22" si="1">SUM(K19:K21)</f>
        <v>0</v>
      </c>
      <c r="L22" s="162">
        <f t="shared" si="1"/>
        <v>0</v>
      </c>
      <c r="M22" s="162">
        <f t="shared" si="1"/>
        <v>0</v>
      </c>
      <c r="N22" s="162">
        <f t="shared" si="1"/>
        <v>0</v>
      </c>
      <c r="O22" s="162">
        <f t="shared" si="1"/>
        <v>0</v>
      </c>
      <c r="P22" s="162">
        <f t="shared" si="1"/>
        <v>0</v>
      </c>
      <c r="Q22" s="201">
        <f t="shared" si="1"/>
        <v>0</v>
      </c>
      <c r="R22" s="202">
        <f>SUM(K22:Q22)</f>
        <v>0</v>
      </c>
      <c r="V22" s="192"/>
      <c r="W22" s="193"/>
      <c r="X22" s="198"/>
      <c r="Y22" s="198"/>
    </row>
    <row r="23" spans="1:25" ht="24.75" customHeight="1">
      <c r="A23" s="114" t="s">
        <v>47</v>
      </c>
      <c r="B23" s="218"/>
      <c r="C23" s="218"/>
      <c r="D23" s="219"/>
      <c r="F23" s="76"/>
      <c r="G23" s="76"/>
      <c r="H23" s="115"/>
      <c r="I23" s="115"/>
      <c r="J23" s="163"/>
      <c r="K23" s="164"/>
      <c r="L23" s="164"/>
      <c r="M23" s="164"/>
      <c r="N23" s="164"/>
      <c r="O23" s="164"/>
      <c r="P23" s="164"/>
      <c r="Q23" s="163"/>
      <c r="R23" s="76"/>
      <c r="V23" s="192"/>
      <c r="W23" s="193"/>
      <c r="X23" s="198"/>
      <c r="Y23" s="198"/>
    </row>
    <row r="24" spans="1:25" ht="24.75" customHeight="1">
      <c r="A24" s="116"/>
      <c r="B24" s="220"/>
      <c r="C24" s="220"/>
      <c r="D24" s="221"/>
      <c r="V24" s="192"/>
      <c r="W24" s="193"/>
      <c r="X24" s="198"/>
      <c r="Y24" s="198"/>
    </row>
    <row r="25" spans="1:25" ht="24.75" customHeight="1">
      <c r="A25" s="118"/>
      <c r="B25" s="119"/>
      <c r="C25" s="119"/>
      <c r="D25" s="120"/>
      <c r="H25" s="121"/>
      <c r="I25" s="121"/>
      <c r="Q25" s="127"/>
      <c r="R25" s="127"/>
      <c r="S25" s="127"/>
      <c r="T25" s="127"/>
      <c r="U25" s="127"/>
      <c r="V25" s="127"/>
      <c r="W25" s="194"/>
    </row>
    <row r="26" spans="1:25" ht="28.5" customHeight="1">
      <c r="A26" s="281" t="s">
        <v>48</v>
      </c>
      <c r="B26" s="282"/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3"/>
      <c r="S26" s="192"/>
      <c r="T26" s="192"/>
      <c r="U26" s="193"/>
    </row>
    <row r="27" spans="1:25" ht="24.75" customHeight="1">
      <c r="A27" s="284">
        <f>C11</f>
        <v>0</v>
      </c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6"/>
      <c r="S27" s="174"/>
      <c r="T27" s="174"/>
      <c r="U27" s="194"/>
    </row>
    <row r="28" spans="1:25" ht="24.75" customHeight="1">
      <c r="A28" s="307"/>
      <c r="B28" s="307"/>
      <c r="C28" s="304"/>
      <c r="D28" s="304"/>
      <c r="E28" s="304"/>
      <c r="F28" s="295"/>
      <c r="G28" s="296"/>
      <c r="H28" s="296"/>
      <c r="I28" s="296"/>
      <c r="J28" s="296"/>
      <c r="K28" s="297"/>
      <c r="L28" s="165"/>
      <c r="M28" s="166"/>
      <c r="N28" s="166"/>
      <c r="O28" s="166"/>
      <c r="P28" s="166"/>
      <c r="Q28" s="166"/>
      <c r="R28" s="203"/>
      <c r="S28" s="192"/>
      <c r="T28" s="192"/>
      <c r="U28" s="193"/>
    </row>
    <row r="29" spans="1:25" ht="24.75" customHeight="1">
      <c r="A29" s="308"/>
      <c r="B29" s="308"/>
      <c r="C29" s="305"/>
      <c r="D29" s="305"/>
      <c r="E29" s="305"/>
      <c r="F29" s="298"/>
      <c r="G29" s="299"/>
      <c r="H29" s="299"/>
      <c r="I29" s="299"/>
      <c r="J29" s="299"/>
      <c r="K29" s="300"/>
      <c r="L29" s="167"/>
      <c r="M29" s="168"/>
      <c r="N29" s="168"/>
      <c r="O29" s="168"/>
      <c r="P29" s="168"/>
      <c r="Q29" s="168"/>
      <c r="R29" s="204"/>
      <c r="S29" s="192"/>
      <c r="T29" s="192"/>
      <c r="U29" s="193"/>
    </row>
    <row r="30" spans="1:25" ht="24.75" customHeight="1">
      <c r="A30" s="308"/>
      <c r="B30" s="308"/>
      <c r="C30" s="305"/>
      <c r="D30" s="305"/>
      <c r="E30" s="305"/>
      <c r="F30" s="298"/>
      <c r="G30" s="299"/>
      <c r="H30" s="299"/>
      <c r="I30" s="299"/>
      <c r="J30" s="299"/>
      <c r="K30" s="300"/>
      <c r="L30" s="167"/>
      <c r="M30" s="168"/>
      <c r="N30" s="168"/>
      <c r="O30" s="168"/>
      <c r="P30" s="168"/>
      <c r="Q30" s="168"/>
      <c r="R30" s="204"/>
      <c r="S30" s="192"/>
      <c r="T30" s="192"/>
      <c r="U30" s="193"/>
    </row>
    <row r="31" spans="1:25" ht="24.75" customHeight="1">
      <c r="A31" s="308"/>
      <c r="B31" s="308"/>
      <c r="C31" s="305"/>
      <c r="D31" s="305"/>
      <c r="E31" s="305"/>
      <c r="F31" s="298"/>
      <c r="G31" s="299"/>
      <c r="H31" s="299"/>
      <c r="I31" s="299"/>
      <c r="J31" s="299"/>
      <c r="K31" s="300"/>
      <c r="L31" s="167"/>
      <c r="M31" s="168"/>
      <c r="N31" s="168"/>
      <c r="O31" s="168"/>
      <c r="P31" s="168"/>
      <c r="Q31" s="168"/>
      <c r="R31" s="204"/>
      <c r="S31" s="192"/>
      <c r="T31" s="192"/>
      <c r="U31" s="193"/>
    </row>
    <row r="32" spans="1:25" ht="28.5" customHeight="1">
      <c r="A32" s="308"/>
      <c r="B32" s="308"/>
      <c r="C32" s="305"/>
      <c r="D32" s="305"/>
      <c r="E32" s="305"/>
      <c r="F32" s="298"/>
      <c r="G32" s="299"/>
      <c r="H32" s="299"/>
      <c r="I32" s="299"/>
      <c r="J32" s="299"/>
      <c r="K32" s="300"/>
      <c r="L32" s="167"/>
      <c r="M32" s="168"/>
      <c r="N32" s="168"/>
      <c r="O32" s="168"/>
      <c r="P32" s="310"/>
      <c r="Q32" s="310"/>
      <c r="R32" s="311"/>
      <c r="S32" s="192"/>
      <c r="T32" s="192"/>
      <c r="U32" s="193"/>
    </row>
    <row r="33" spans="1:21" ht="24.75" customHeight="1">
      <c r="A33" s="308"/>
      <c r="B33" s="308"/>
      <c r="C33" s="305"/>
      <c r="D33" s="305"/>
      <c r="E33" s="305"/>
      <c r="F33" s="298"/>
      <c r="G33" s="299"/>
      <c r="H33" s="299"/>
      <c r="I33" s="299"/>
      <c r="J33" s="299"/>
      <c r="K33" s="300"/>
      <c r="L33" s="167"/>
      <c r="M33" s="168"/>
      <c r="N33" s="168"/>
      <c r="O33" s="168"/>
      <c r="P33" s="310"/>
      <c r="Q33" s="310"/>
      <c r="R33" s="311"/>
      <c r="S33" s="192"/>
      <c r="T33" s="192"/>
      <c r="U33" s="193"/>
    </row>
    <row r="34" spans="1:21" ht="24.75" customHeight="1">
      <c r="A34" s="308"/>
      <c r="B34" s="308"/>
      <c r="C34" s="305"/>
      <c r="D34" s="305"/>
      <c r="E34" s="305"/>
      <c r="F34" s="298"/>
      <c r="G34" s="299"/>
      <c r="H34" s="299"/>
      <c r="I34" s="299"/>
      <c r="J34" s="299"/>
      <c r="K34" s="300"/>
      <c r="L34" s="312"/>
      <c r="M34" s="310"/>
      <c r="N34" s="310"/>
      <c r="O34" s="310"/>
      <c r="P34" s="310"/>
      <c r="Q34" s="310"/>
      <c r="R34" s="311"/>
      <c r="S34" s="192"/>
      <c r="T34" s="192"/>
      <c r="U34" s="193"/>
    </row>
    <row r="35" spans="1:21" ht="30.75" customHeight="1">
      <c r="A35" s="309"/>
      <c r="B35" s="309"/>
      <c r="C35" s="306"/>
      <c r="D35" s="306"/>
      <c r="E35" s="306"/>
      <c r="F35" s="301"/>
      <c r="G35" s="302"/>
      <c r="H35" s="302"/>
      <c r="I35" s="302"/>
      <c r="J35" s="302"/>
      <c r="K35" s="303"/>
      <c r="L35" s="313"/>
      <c r="M35" s="314"/>
      <c r="N35" s="314"/>
      <c r="O35" s="314"/>
      <c r="P35" s="314"/>
      <c r="Q35" s="314"/>
      <c r="R35" s="315"/>
      <c r="S35" s="127"/>
      <c r="T35" s="127"/>
      <c r="U35" s="194"/>
    </row>
    <row r="36" spans="1:21" ht="39" customHeight="1">
      <c r="A36" s="287">
        <f>D11</f>
        <v>0</v>
      </c>
      <c r="B36" s="287"/>
      <c r="C36" s="288">
        <f>D12</f>
        <v>0</v>
      </c>
      <c r="D36" s="288"/>
      <c r="E36" s="288"/>
      <c r="F36" s="289">
        <f>D13</f>
        <v>0</v>
      </c>
      <c r="G36" s="290"/>
      <c r="H36" s="290"/>
      <c r="I36" s="290"/>
      <c r="J36" s="290"/>
      <c r="K36" s="291"/>
      <c r="L36" s="292"/>
      <c r="M36" s="293"/>
      <c r="N36" s="293"/>
      <c r="O36" s="293"/>
      <c r="P36" s="293"/>
      <c r="Q36" s="293"/>
      <c r="R36" s="294"/>
      <c r="S36" s="71"/>
      <c r="T36" s="71"/>
      <c r="U36" s="71"/>
    </row>
    <row r="37" spans="1:21" ht="14.25" customHeight="1">
      <c r="A37" s="258"/>
      <c r="B37" s="259"/>
      <c r="C37" s="259"/>
      <c r="D37" s="259"/>
      <c r="E37" s="25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259"/>
      <c r="R37" s="260"/>
      <c r="S37" s="71"/>
      <c r="T37" s="71"/>
      <c r="U37" s="71"/>
    </row>
    <row r="38" spans="1:21" ht="36" customHeight="1">
      <c r="A38" s="261" t="s">
        <v>49</v>
      </c>
      <c r="B38" s="262"/>
      <c r="C38" s="263" t="s">
        <v>50</v>
      </c>
      <c r="D38" s="264"/>
      <c r="E38" s="264"/>
      <c r="F38" s="265"/>
      <c r="G38" s="266" t="s">
        <v>51</v>
      </c>
      <c r="H38" s="267"/>
      <c r="I38" s="267"/>
      <c r="J38" s="268"/>
      <c r="K38" s="269" t="s">
        <v>52</v>
      </c>
      <c r="L38" s="270"/>
      <c r="M38" s="270"/>
      <c r="N38" s="270"/>
      <c r="O38" s="271"/>
      <c r="P38" s="269" t="s">
        <v>53</v>
      </c>
      <c r="Q38" s="270"/>
      <c r="R38" s="271"/>
    </row>
    <row r="39" spans="1:21">
      <c r="A39" s="272" t="s">
        <v>54</v>
      </c>
      <c r="B39" s="274"/>
      <c r="C39" s="272" t="s">
        <v>55</v>
      </c>
      <c r="D39" s="273"/>
      <c r="E39" s="273"/>
      <c r="F39" s="274"/>
      <c r="G39" s="275" t="s">
        <v>56</v>
      </c>
      <c r="H39" s="276"/>
      <c r="I39" s="276"/>
      <c r="J39" s="277"/>
      <c r="K39" s="278" t="s">
        <v>57</v>
      </c>
      <c r="L39" s="279"/>
      <c r="M39" s="279"/>
      <c r="N39" s="279"/>
      <c r="O39" s="280"/>
      <c r="P39" s="272"/>
      <c r="Q39" s="273"/>
      <c r="R39" s="274"/>
    </row>
    <row r="40" spans="1:21">
      <c r="A40" s="122"/>
      <c r="B40" s="123"/>
      <c r="C40" s="124"/>
      <c r="D40" s="125"/>
      <c r="E40" s="125"/>
      <c r="F40" s="126"/>
      <c r="G40" s="122"/>
      <c r="H40" s="127"/>
      <c r="I40" s="127"/>
      <c r="J40" s="169"/>
      <c r="K40" s="165"/>
      <c r="L40" s="170"/>
      <c r="M40" s="125"/>
      <c r="N40" s="125"/>
      <c r="O40" s="169"/>
      <c r="P40" s="171"/>
      <c r="Q40" s="125"/>
      <c r="R40" s="169"/>
    </row>
    <row r="41" spans="1:21">
      <c r="A41" s="122"/>
      <c r="B41" s="123"/>
      <c r="C41" s="122"/>
      <c r="D41" s="127"/>
      <c r="E41" s="127"/>
      <c r="F41" s="128"/>
      <c r="G41" s="122"/>
      <c r="H41" s="127"/>
      <c r="I41" s="127"/>
      <c r="J41" s="123"/>
      <c r="K41" s="122"/>
      <c r="L41" s="172"/>
      <c r="M41" s="127"/>
      <c r="N41" s="127"/>
      <c r="O41" s="123"/>
      <c r="P41" s="173"/>
      <c r="Q41" s="127"/>
      <c r="R41" s="123"/>
    </row>
    <row r="42" spans="1:21">
      <c r="A42" s="122"/>
      <c r="B42" s="123"/>
      <c r="C42" s="122"/>
      <c r="D42" s="127"/>
      <c r="E42" s="127"/>
      <c r="F42" s="128"/>
      <c r="G42" s="122"/>
      <c r="H42" s="127"/>
      <c r="I42" s="127"/>
      <c r="J42" s="123"/>
      <c r="K42" s="122"/>
      <c r="L42" s="172"/>
      <c r="M42" s="127"/>
      <c r="N42" s="127"/>
      <c r="O42" s="123"/>
      <c r="P42" s="173"/>
      <c r="Q42" s="127"/>
      <c r="R42" s="123"/>
      <c r="U42" s="205"/>
    </row>
    <row r="43" spans="1:21">
      <c r="A43" s="122"/>
      <c r="B43" s="123"/>
      <c r="C43" s="122"/>
      <c r="D43" s="127"/>
      <c r="E43" s="127"/>
      <c r="F43" s="128"/>
      <c r="G43" s="122"/>
      <c r="H43" s="127"/>
      <c r="I43" s="127"/>
      <c r="J43" s="123"/>
      <c r="K43" s="122"/>
      <c r="L43" s="172"/>
      <c r="M43" s="127"/>
      <c r="N43" s="127"/>
      <c r="O43" s="123"/>
      <c r="P43" s="173"/>
      <c r="Q43" s="127"/>
      <c r="R43" s="123"/>
    </row>
    <row r="44" spans="1:21">
      <c r="A44" s="122"/>
      <c r="B44" s="123"/>
      <c r="C44" s="129"/>
      <c r="D44" s="130"/>
      <c r="E44" s="127"/>
      <c r="F44" s="123"/>
      <c r="G44" s="122"/>
      <c r="H44" s="127"/>
      <c r="I44" s="127"/>
      <c r="J44" s="123"/>
      <c r="K44" s="122"/>
      <c r="L44" s="172"/>
      <c r="M44" s="127"/>
      <c r="N44" s="127"/>
      <c r="O44" s="123"/>
      <c r="P44" s="173"/>
      <c r="Q44" s="127"/>
      <c r="R44" s="123"/>
    </row>
    <row r="45" spans="1:21">
      <c r="A45" s="122"/>
      <c r="B45" s="123"/>
      <c r="C45" s="131"/>
      <c r="D45" s="132"/>
      <c r="E45" s="127"/>
      <c r="F45" s="123"/>
      <c r="G45" s="122"/>
      <c r="H45" s="127"/>
      <c r="I45" s="127"/>
      <c r="J45" s="123"/>
      <c r="K45" s="122"/>
      <c r="M45" s="174"/>
      <c r="N45" s="174"/>
      <c r="O45" s="175"/>
      <c r="P45" s="133"/>
      <c r="Q45" s="174"/>
      <c r="R45" s="175"/>
    </row>
    <row r="46" spans="1:21">
      <c r="A46" s="122"/>
      <c r="B46" s="123"/>
      <c r="C46" s="131"/>
      <c r="D46" s="132"/>
      <c r="E46" s="127"/>
      <c r="F46" s="123"/>
      <c r="G46" s="122"/>
      <c r="H46" s="127"/>
      <c r="I46" s="127"/>
      <c r="J46" s="123"/>
      <c r="K46" s="122"/>
      <c r="M46" s="174"/>
      <c r="N46" s="174"/>
      <c r="O46" s="175"/>
      <c r="P46" s="133"/>
      <c r="Q46" s="174"/>
      <c r="R46" s="175"/>
    </row>
    <row r="47" spans="1:21" ht="18.75">
      <c r="A47" s="122"/>
      <c r="B47" s="123"/>
      <c r="C47" s="131"/>
      <c r="D47" s="132"/>
      <c r="E47" s="127"/>
      <c r="F47" s="123"/>
      <c r="G47" s="133"/>
      <c r="J47" s="176"/>
      <c r="K47" s="134"/>
      <c r="M47" s="174"/>
      <c r="N47" s="174"/>
      <c r="O47" s="175"/>
      <c r="P47" s="133"/>
      <c r="Q47" s="174"/>
      <c r="R47" s="175"/>
    </row>
    <row r="48" spans="1:21">
      <c r="A48" s="122"/>
      <c r="B48" s="123"/>
      <c r="C48" s="131"/>
      <c r="D48" s="132"/>
      <c r="E48" s="127"/>
      <c r="F48" s="123"/>
      <c r="G48" s="122"/>
      <c r="H48" s="127"/>
      <c r="I48" s="127"/>
      <c r="J48" s="123"/>
      <c r="K48" s="122"/>
      <c r="M48" s="174"/>
      <c r="N48" s="174"/>
      <c r="O48" s="175"/>
      <c r="P48" s="133"/>
      <c r="Q48" s="174"/>
      <c r="R48" s="175"/>
    </row>
    <row r="49" spans="1:18" ht="18.75">
      <c r="A49" s="122"/>
      <c r="B49" s="123"/>
      <c r="C49" s="131"/>
      <c r="D49" s="132"/>
      <c r="E49" s="127"/>
      <c r="F49" s="123"/>
      <c r="G49" s="134"/>
      <c r="H49" s="135"/>
      <c r="I49" s="135"/>
      <c r="J49" s="177"/>
      <c r="K49" s="122"/>
      <c r="L49" s="135"/>
      <c r="M49" s="174"/>
      <c r="N49" s="174"/>
      <c r="O49" s="175"/>
      <c r="P49" s="134"/>
      <c r="Q49" s="174"/>
      <c r="R49" s="175"/>
    </row>
    <row r="50" spans="1:18">
      <c r="A50" s="122"/>
      <c r="B50" s="123"/>
      <c r="C50" s="131"/>
      <c r="D50" s="132"/>
      <c r="E50" s="127"/>
      <c r="F50" s="123"/>
      <c r="G50" s="122"/>
      <c r="H50" s="127"/>
      <c r="I50" s="127"/>
      <c r="J50" s="123"/>
      <c r="K50" s="122"/>
      <c r="M50" s="174"/>
      <c r="N50" s="174"/>
      <c r="O50" s="175"/>
      <c r="P50" s="133"/>
      <c r="Q50" s="174"/>
      <c r="R50" s="175"/>
    </row>
    <row r="51" spans="1:18">
      <c r="A51" s="122"/>
      <c r="B51" s="123"/>
      <c r="C51" s="131"/>
      <c r="D51" s="132"/>
      <c r="E51" s="127"/>
      <c r="F51" s="123"/>
      <c r="G51" s="122"/>
      <c r="H51" s="127"/>
      <c r="I51" s="127"/>
      <c r="J51" s="123"/>
      <c r="K51" s="122"/>
      <c r="M51" s="174"/>
      <c r="N51" s="174"/>
      <c r="O51" s="175"/>
      <c r="P51" s="133"/>
      <c r="Q51" s="174"/>
      <c r="R51" s="175"/>
    </row>
    <row r="52" spans="1:18">
      <c r="A52" s="136"/>
      <c r="B52" s="137"/>
      <c r="C52" s="138"/>
      <c r="D52" s="139"/>
      <c r="E52" s="117"/>
      <c r="F52" s="140"/>
      <c r="G52" s="141"/>
      <c r="H52" s="142"/>
      <c r="I52" s="142"/>
      <c r="J52" s="137"/>
      <c r="K52" s="136"/>
      <c r="L52" s="178"/>
      <c r="M52" s="179"/>
      <c r="N52" s="179"/>
      <c r="O52" s="180"/>
      <c r="P52" s="181"/>
      <c r="Q52" s="179"/>
      <c r="R52" s="180"/>
    </row>
  </sheetData>
  <mergeCells count="70">
    <mergeCell ref="B6:C6"/>
    <mergeCell ref="K6:S6"/>
    <mergeCell ref="E4:H4"/>
    <mergeCell ref="K4:R4"/>
    <mergeCell ref="B5:C5"/>
    <mergeCell ref="E5:H5"/>
    <mergeCell ref="K5:R5"/>
    <mergeCell ref="A1:C1"/>
    <mergeCell ref="K1:R1"/>
    <mergeCell ref="E2:H2"/>
    <mergeCell ref="K2:R2"/>
    <mergeCell ref="E3:H3"/>
    <mergeCell ref="K3:R3"/>
    <mergeCell ref="E6:H6"/>
    <mergeCell ref="O8:O10"/>
    <mergeCell ref="P8:P10"/>
    <mergeCell ref="Q8:Q9"/>
    <mergeCell ref="L9:L10"/>
    <mergeCell ref="M9:M10"/>
    <mergeCell ref="G8:J8"/>
    <mergeCell ref="R8:R9"/>
    <mergeCell ref="R17:R18"/>
    <mergeCell ref="F8:F10"/>
    <mergeCell ref="H9:H10"/>
    <mergeCell ref="I9:I10"/>
    <mergeCell ref="J9:J10"/>
    <mergeCell ref="G9:G10"/>
    <mergeCell ref="K9:K10"/>
    <mergeCell ref="K8:N8"/>
    <mergeCell ref="K17:Q17"/>
    <mergeCell ref="N9:N10"/>
    <mergeCell ref="A26:R26"/>
    <mergeCell ref="A27:R27"/>
    <mergeCell ref="A36:B36"/>
    <mergeCell ref="C36:E36"/>
    <mergeCell ref="F36:K36"/>
    <mergeCell ref="L36:R36"/>
    <mergeCell ref="F28:K35"/>
    <mergeCell ref="C28:E35"/>
    <mergeCell ref="A28:B35"/>
    <mergeCell ref="P32:R33"/>
    <mergeCell ref="L34:R35"/>
    <mergeCell ref="A37:R37"/>
    <mergeCell ref="A38:B38"/>
    <mergeCell ref="C38:F38"/>
    <mergeCell ref="G38:J38"/>
    <mergeCell ref="K38:O38"/>
    <mergeCell ref="P38:R39"/>
    <mergeCell ref="A39:B39"/>
    <mergeCell ref="C39:F39"/>
    <mergeCell ref="G39:J39"/>
    <mergeCell ref="K39:O39"/>
    <mergeCell ref="A8:A10"/>
    <mergeCell ref="A11:A12"/>
    <mergeCell ref="B8:B9"/>
    <mergeCell ref="C8:C9"/>
    <mergeCell ref="D8:D10"/>
    <mergeCell ref="B23:D24"/>
    <mergeCell ref="B20:D21"/>
    <mergeCell ref="B18:D19"/>
    <mergeCell ref="B16:D17"/>
    <mergeCell ref="F17:H18"/>
    <mergeCell ref="B22:D22"/>
    <mergeCell ref="F19:H21"/>
    <mergeCell ref="I20:J20"/>
    <mergeCell ref="I21:J21"/>
    <mergeCell ref="I19:J19"/>
    <mergeCell ref="E8:E10"/>
    <mergeCell ref="F11:F14"/>
    <mergeCell ref="I17:J18"/>
  </mergeCells>
  <printOptions horizontalCentered="1" verticalCentered="1"/>
  <pageMargins left="0.27559055118110237" right="0.27559055118110237" top="0.27559055118110237" bottom="0.23622047244094491" header="0" footer="0"/>
  <pageSetup paperSize="9" scale="36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C61"/>
  <sheetViews>
    <sheetView tabSelected="1" topLeftCell="A16" zoomScale="85" workbookViewId="0">
      <selection activeCell="O39" sqref="O39"/>
    </sheetView>
  </sheetViews>
  <sheetFormatPr defaultColWidth="9.140625" defaultRowHeight="12.75"/>
  <cols>
    <col min="1" max="1" width="14.5703125" style="43" customWidth="1"/>
    <col min="2" max="7" width="8.85546875" style="43" bestFit="1" customWidth="1"/>
    <col min="8" max="8" width="8.85546875" style="43" customWidth="1"/>
    <col min="9" max="9" width="8.85546875" style="43" bestFit="1" customWidth="1"/>
    <col min="10" max="12" width="6.140625" style="43" customWidth="1"/>
    <col min="13" max="13" width="8.85546875" style="44" bestFit="1" customWidth="1"/>
    <col min="14" max="14" width="13.42578125" style="43" customWidth="1"/>
    <col min="15" max="22" width="8.85546875" style="43" customWidth="1"/>
    <col min="23" max="25" width="6" style="43" customWidth="1"/>
    <col min="26" max="26" width="8.85546875" style="43" bestFit="1" customWidth="1"/>
    <col min="27" max="27" width="6.140625" style="43" customWidth="1"/>
    <col min="28" max="237" width="8.85546875" style="43" bestFit="1" customWidth="1"/>
    <col min="238" max="16384" width="9.140625" style="43"/>
  </cols>
  <sheetData>
    <row r="1" spans="1:25" ht="18">
      <c r="A1" s="45" t="s">
        <v>58</v>
      </c>
      <c r="B1" s="45"/>
      <c r="C1" s="46"/>
      <c r="D1" s="46"/>
      <c r="E1" s="46"/>
      <c r="F1" s="46"/>
      <c r="G1" s="46"/>
      <c r="H1" s="46"/>
      <c r="J1" s="46"/>
      <c r="N1" s="355"/>
      <c r="O1" s="355"/>
      <c r="P1" s="46"/>
      <c r="Q1" s="46"/>
      <c r="R1" s="46"/>
      <c r="S1" s="46"/>
      <c r="T1" s="46"/>
      <c r="U1" s="46"/>
      <c r="W1" s="46"/>
    </row>
    <row r="2" spans="1:25" ht="18">
      <c r="A2" s="47"/>
      <c r="B2" s="47"/>
      <c r="C2" s="46"/>
      <c r="D2" s="46"/>
      <c r="E2" s="46"/>
      <c r="F2" s="46"/>
      <c r="G2" s="46"/>
      <c r="H2" s="46"/>
      <c r="J2" s="46"/>
      <c r="N2" s="47"/>
      <c r="O2" s="47"/>
      <c r="P2" s="46"/>
      <c r="Q2" s="46"/>
      <c r="R2" s="46"/>
      <c r="S2" s="46"/>
      <c r="T2" s="46"/>
      <c r="U2" s="46"/>
      <c r="W2" s="46"/>
    </row>
    <row r="3" spans="1:25" ht="18">
      <c r="A3" s="47">
        <f>'CONFIRMED PO'!C11</f>
        <v>0</v>
      </c>
      <c r="B3" s="48"/>
      <c r="C3" s="46"/>
      <c r="D3" s="46"/>
      <c r="E3" s="46"/>
      <c r="F3" s="46"/>
      <c r="G3" s="46"/>
      <c r="H3" s="46"/>
      <c r="J3" s="46"/>
      <c r="N3" s="47">
        <f>'CONFIRMED PO'!C11</f>
        <v>0</v>
      </c>
      <c r="O3" s="48"/>
      <c r="P3" s="46"/>
      <c r="Q3" s="46"/>
      <c r="R3" s="46"/>
      <c r="S3" s="46"/>
      <c r="T3" s="46"/>
      <c r="U3" s="46"/>
      <c r="W3" s="46"/>
    </row>
    <row r="4" spans="1:25">
      <c r="A4" s="49">
        <f>'CONFIRMED PO'!D11</f>
        <v>0</v>
      </c>
      <c r="B4" s="50">
        <v>35</v>
      </c>
      <c r="C4" s="50">
        <f t="shared" ref="C4:H4" si="0">B4+1</f>
        <v>36</v>
      </c>
      <c r="D4" s="50">
        <f t="shared" si="0"/>
        <v>37</v>
      </c>
      <c r="E4" s="50">
        <f t="shared" si="0"/>
        <v>38</v>
      </c>
      <c r="F4" s="50">
        <f t="shared" si="0"/>
        <v>39</v>
      </c>
      <c r="G4" s="50">
        <f t="shared" si="0"/>
        <v>40</v>
      </c>
      <c r="H4" s="50">
        <f t="shared" si="0"/>
        <v>41</v>
      </c>
      <c r="I4" s="59"/>
      <c r="J4" s="46"/>
      <c r="K4" s="46" t="s">
        <v>59</v>
      </c>
      <c r="L4" s="46" t="s">
        <v>60</v>
      </c>
      <c r="N4" s="49">
        <f>'CONFIRMED PO'!D12</f>
        <v>0</v>
      </c>
      <c r="O4" s="50">
        <f>B4</f>
        <v>35</v>
      </c>
      <c r="P4" s="50">
        <f t="shared" ref="P4:U4" si="1">O4+1</f>
        <v>36</v>
      </c>
      <c r="Q4" s="50">
        <f t="shared" si="1"/>
        <v>37</v>
      </c>
      <c r="R4" s="50">
        <f t="shared" si="1"/>
        <v>38</v>
      </c>
      <c r="S4" s="50">
        <f t="shared" si="1"/>
        <v>39</v>
      </c>
      <c r="T4" s="50">
        <f t="shared" si="1"/>
        <v>40</v>
      </c>
      <c r="U4" s="50">
        <f t="shared" si="1"/>
        <v>41</v>
      </c>
      <c r="V4" s="59"/>
      <c r="W4" s="46"/>
      <c r="X4" s="46" t="s">
        <v>59</v>
      </c>
      <c r="Y4" s="46" t="s">
        <v>60</v>
      </c>
    </row>
    <row r="5" spans="1:25" s="42" customFormat="1">
      <c r="A5" s="51" t="s">
        <v>61</v>
      </c>
      <c r="B5" s="52">
        <v>1</v>
      </c>
      <c r="C5" s="52">
        <v>2</v>
      </c>
      <c r="D5" s="52">
        <v>3</v>
      </c>
      <c r="E5" s="52">
        <v>3</v>
      </c>
      <c r="F5" s="52">
        <v>2</v>
      </c>
      <c r="G5" s="52">
        <v>1</v>
      </c>
      <c r="H5" s="52"/>
      <c r="I5" s="60">
        <f>SUM(B5:H5)</f>
        <v>12</v>
      </c>
      <c r="J5" s="52" t="s">
        <v>62</v>
      </c>
      <c r="K5" s="61">
        <v>2</v>
      </c>
      <c r="L5" s="62">
        <f>I5*K5</f>
        <v>24</v>
      </c>
      <c r="M5" s="63" t="s">
        <v>24</v>
      </c>
      <c r="N5" s="51" t="s">
        <v>61</v>
      </c>
      <c r="O5" s="52">
        <v>1</v>
      </c>
      <c r="P5" s="52">
        <v>2</v>
      </c>
      <c r="Q5" s="52">
        <v>3</v>
      </c>
      <c r="R5" s="52">
        <v>3</v>
      </c>
      <c r="S5" s="52">
        <v>2</v>
      </c>
      <c r="T5" s="52">
        <v>1</v>
      </c>
      <c r="U5" s="52"/>
      <c r="V5" s="60">
        <f>SUM(O5:U5)</f>
        <v>12</v>
      </c>
      <c r="W5" s="52" t="s">
        <v>62</v>
      </c>
      <c r="X5" s="61">
        <v>2</v>
      </c>
      <c r="Y5" s="62">
        <f>V5*X5</f>
        <v>24</v>
      </c>
    </row>
    <row r="6" spans="1:25" s="42" customFormat="1">
      <c r="A6" s="51" t="s">
        <v>63</v>
      </c>
      <c r="B6" s="52">
        <f t="shared" ref="B6:H6" si="2">IFERROR(B5*$K$5,0)</f>
        <v>2</v>
      </c>
      <c r="C6" s="52">
        <f t="shared" si="2"/>
        <v>4</v>
      </c>
      <c r="D6" s="52">
        <f t="shared" si="2"/>
        <v>6</v>
      </c>
      <c r="E6" s="52">
        <f t="shared" si="2"/>
        <v>6</v>
      </c>
      <c r="F6" s="52">
        <f t="shared" si="2"/>
        <v>4</v>
      </c>
      <c r="G6" s="52">
        <f t="shared" si="2"/>
        <v>2</v>
      </c>
      <c r="H6" s="52">
        <f t="shared" si="2"/>
        <v>0</v>
      </c>
      <c r="I6" s="60">
        <f>SUM(B6:H6)</f>
        <v>24</v>
      </c>
      <c r="J6" s="52"/>
      <c r="L6" s="64"/>
      <c r="M6" s="63"/>
      <c r="N6" s="51" t="s">
        <v>63</v>
      </c>
      <c r="O6" s="52">
        <f>O5*$X$5</f>
        <v>2</v>
      </c>
      <c r="P6" s="52">
        <f t="shared" ref="P6:U6" si="3">P5*$X$5</f>
        <v>4</v>
      </c>
      <c r="Q6" s="52">
        <f t="shared" si="3"/>
        <v>6</v>
      </c>
      <c r="R6" s="52">
        <f t="shared" si="3"/>
        <v>6</v>
      </c>
      <c r="S6" s="52">
        <f t="shared" si="3"/>
        <v>4</v>
      </c>
      <c r="T6" s="52">
        <f t="shared" si="3"/>
        <v>2</v>
      </c>
      <c r="U6" s="52">
        <f t="shared" si="3"/>
        <v>0</v>
      </c>
      <c r="V6" s="60">
        <f>SUM(O6:U6)</f>
        <v>24</v>
      </c>
      <c r="W6" s="52"/>
      <c r="Y6" s="64"/>
    </row>
    <row r="7" spans="1:25" s="42" customFormat="1">
      <c r="A7" s="53"/>
      <c r="B7" s="54"/>
      <c r="C7" s="54"/>
      <c r="D7" s="54"/>
      <c r="E7" s="54"/>
      <c r="F7" s="54"/>
      <c r="G7" s="54"/>
      <c r="H7" s="54"/>
      <c r="I7" s="65"/>
      <c r="J7" s="52"/>
      <c r="L7" s="64"/>
      <c r="M7" s="63"/>
      <c r="N7" s="53"/>
      <c r="O7" s="54"/>
      <c r="P7" s="54"/>
      <c r="Q7" s="54"/>
      <c r="R7" s="54"/>
      <c r="S7" s="54"/>
      <c r="T7" s="54"/>
      <c r="U7" s="54"/>
      <c r="V7" s="65"/>
      <c r="W7" s="52"/>
      <c r="Y7" s="64"/>
    </row>
    <row r="8" spans="1:25" s="42" customFormat="1">
      <c r="A8" s="51" t="s">
        <v>64</v>
      </c>
      <c r="B8" s="52">
        <v>1</v>
      </c>
      <c r="C8" s="52">
        <v>1</v>
      </c>
      <c r="D8" s="52">
        <v>3</v>
      </c>
      <c r="E8" s="52">
        <v>3</v>
      </c>
      <c r="F8" s="52">
        <v>2</v>
      </c>
      <c r="G8" s="52">
        <v>2</v>
      </c>
      <c r="H8" s="52"/>
      <c r="I8" s="60">
        <f>SUM(B8:H8)</f>
        <v>12</v>
      </c>
      <c r="J8" s="52" t="s">
        <v>62</v>
      </c>
      <c r="K8" s="61">
        <v>2</v>
      </c>
      <c r="L8" s="62">
        <f>I8*K8</f>
        <v>24</v>
      </c>
      <c r="M8" s="63" t="s">
        <v>25</v>
      </c>
      <c r="N8" s="51" t="s">
        <v>64</v>
      </c>
      <c r="O8" s="52">
        <v>1</v>
      </c>
      <c r="P8" s="52">
        <v>1</v>
      </c>
      <c r="Q8" s="52">
        <v>3</v>
      </c>
      <c r="R8" s="52">
        <v>3</v>
      </c>
      <c r="S8" s="52">
        <v>2</v>
      </c>
      <c r="T8" s="52">
        <v>2</v>
      </c>
      <c r="U8" s="52"/>
      <c r="V8" s="60">
        <f>SUM(O8:U8)</f>
        <v>12</v>
      </c>
      <c r="W8" s="52" t="s">
        <v>62</v>
      </c>
      <c r="X8" s="61">
        <v>2</v>
      </c>
      <c r="Y8" s="62">
        <f>V8*X8</f>
        <v>24</v>
      </c>
    </row>
    <row r="9" spans="1:25" s="42" customFormat="1">
      <c r="A9" s="51" t="s">
        <v>65</v>
      </c>
      <c r="B9" s="52">
        <f>IFERROR(B8*$K$8,0)</f>
        <v>2</v>
      </c>
      <c r="C9" s="52">
        <f t="shared" ref="C9:H9" si="4">IFERROR(C8*$K$8,0)</f>
        <v>2</v>
      </c>
      <c r="D9" s="52">
        <f t="shared" si="4"/>
        <v>6</v>
      </c>
      <c r="E9" s="52">
        <f t="shared" si="4"/>
        <v>6</v>
      </c>
      <c r="F9" s="52">
        <f t="shared" si="4"/>
        <v>4</v>
      </c>
      <c r="G9" s="52">
        <f t="shared" si="4"/>
        <v>4</v>
      </c>
      <c r="H9" s="52">
        <f t="shared" si="4"/>
        <v>0</v>
      </c>
      <c r="I9" s="60">
        <f>SUM(B9:H9)</f>
        <v>24</v>
      </c>
      <c r="J9" s="52"/>
      <c r="L9" s="64"/>
      <c r="M9" s="63"/>
      <c r="N9" s="51" t="s">
        <v>65</v>
      </c>
      <c r="O9" s="52">
        <f>O8*$X$8</f>
        <v>2</v>
      </c>
      <c r="P9" s="52">
        <f t="shared" ref="P9:U9" si="5">P8*$X$8</f>
        <v>2</v>
      </c>
      <c r="Q9" s="52">
        <f t="shared" si="5"/>
        <v>6</v>
      </c>
      <c r="R9" s="52">
        <f t="shared" si="5"/>
        <v>6</v>
      </c>
      <c r="S9" s="52">
        <f t="shared" si="5"/>
        <v>4</v>
      </c>
      <c r="T9" s="52">
        <f t="shared" si="5"/>
        <v>4</v>
      </c>
      <c r="U9" s="52">
        <f t="shared" si="5"/>
        <v>0</v>
      </c>
      <c r="V9" s="60">
        <f>SUM(O9:U9)</f>
        <v>24</v>
      </c>
      <c r="W9" s="52"/>
      <c r="Y9" s="64"/>
    </row>
    <row r="10" spans="1:25" s="42" customFormat="1">
      <c r="A10" s="53"/>
      <c r="B10" s="54"/>
      <c r="C10" s="54"/>
      <c r="D10" s="54"/>
      <c r="E10" s="54"/>
      <c r="F10" s="54"/>
      <c r="G10" s="54"/>
      <c r="H10" s="54"/>
      <c r="I10" s="66"/>
      <c r="J10" s="52"/>
      <c r="L10" s="64"/>
      <c r="M10" s="63"/>
      <c r="N10" s="53"/>
      <c r="O10" s="54"/>
      <c r="P10" s="54"/>
      <c r="Q10" s="54"/>
      <c r="R10" s="54"/>
      <c r="S10" s="54"/>
      <c r="T10" s="54"/>
      <c r="U10" s="54"/>
      <c r="V10" s="66"/>
      <c r="W10" s="52"/>
      <c r="Y10" s="64"/>
    </row>
    <row r="11" spans="1:25" s="42" customFormat="1">
      <c r="A11" s="55" t="s">
        <v>66</v>
      </c>
      <c r="B11" s="52"/>
      <c r="C11" s="52">
        <v>1</v>
      </c>
      <c r="D11" s="52">
        <v>1</v>
      </c>
      <c r="E11" s="52">
        <v>1</v>
      </c>
      <c r="F11" s="52">
        <v>2</v>
      </c>
      <c r="G11" s="52">
        <v>1</v>
      </c>
      <c r="H11" s="52"/>
      <c r="I11" s="60">
        <f>SUM(B11:H11)</f>
        <v>6</v>
      </c>
      <c r="J11" s="52" t="s">
        <v>62</v>
      </c>
      <c r="K11" s="61"/>
      <c r="L11" s="62">
        <f>I11*K11</f>
        <v>0</v>
      </c>
      <c r="M11" s="63" t="s">
        <v>26</v>
      </c>
      <c r="N11" s="55" t="s">
        <v>66</v>
      </c>
      <c r="O11" s="52">
        <v>1</v>
      </c>
      <c r="P11" s="52">
        <v>2</v>
      </c>
      <c r="Q11" s="52">
        <v>3</v>
      </c>
      <c r="R11" s="52">
        <v>3</v>
      </c>
      <c r="S11" s="52">
        <v>2</v>
      </c>
      <c r="T11" s="52">
        <v>1</v>
      </c>
      <c r="U11" s="52"/>
      <c r="V11" s="60">
        <f>SUM(O11:U11)</f>
        <v>12</v>
      </c>
      <c r="W11" s="52" t="s">
        <v>62</v>
      </c>
      <c r="X11" s="61">
        <v>1</v>
      </c>
      <c r="Y11" s="62">
        <f>V11*X11</f>
        <v>12</v>
      </c>
    </row>
    <row r="12" spans="1:25" s="42" customFormat="1">
      <c r="A12" s="51" t="s">
        <v>67</v>
      </c>
      <c r="B12" s="52">
        <f>B11*$K$11</f>
        <v>0</v>
      </c>
      <c r="C12" s="52">
        <f t="shared" ref="C12:H12" si="6">C11*$K$11</f>
        <v>0</v>
      </c>
      <c r="D12" s="52">
        <f t="shared" si="6"/>
        <v>0</v>
      </c>
      <c r="E12" s="52">
        <f t="shared" si="6"/>
        <v>0</v>
      </c>
      <c r="F12" s="52">
        <f t="shared" si="6"/>
        <v>0</v>
      </c>
      <c r="G12" s="52">
        <f t="shared" si="6"/>
        <v>0</v>
      </c>
      <c r="H12" s="52">
        <f t="shared" si="6"/>
        <v>0</v>
      </c>
      <c r="I12" s="60">
        <f>SUM(B12:H12)</f>
        <v>0</v>
      </c>
      <c r="J12" s="52"/>
      <c r="L12" s="64"/>
      <c r="M12" s="63"/>
      <c r="N12" s="51" t="s">
        <v>67</v>
      </c>
      <c r="O12" s="52">
        <f>O11*$X$11</f>
        <v>1</v>
      </c>
      <c r="P12" s="52">
        <f t="shared" ref="P12:U12" si="7">P11*$X$11</f>
        <v>2</v>
      </c>
      <c r="Q12" s="52">
        <f t="shared" si="7"/>
        <v>3</v>
      </c>
      <c r="R12" s="52">
        <f t="shared" si="7"/>
        <v>3</v>
      </c>
      <c r="S12" s="52">
        <f t="shared" si="7"/>
        <v>2</v>
      </c>
      <c r="T12" s="52">
        <f t="shared" si="7"/>
        <v>1</v>
      </c>
      <c r="U12" s="52">
        <f t="shared" si="7"/>
        <v>0</v>
      </c>
      <c r="V12" s="60">
        <f>SUM(O12:U12)</f>
        <v>12</v>
      </c>
      <c r="W12" s="52"/>
      <c r="Y12" s="64"/>
    </row>
    <row r="13" spans="1:25" s="42" customFormat="1">
      <c r="A13" s="53"/>
      <c r="B13" s="54"/>
      <c r="C13" s="54"/>
      <c r="D13" s="54"/>
      <c r="E13" s="54"/>
      <c r="F13" s="54"/>
      <c r="G13" s="54"/>
      <c r="H13" s="54"/>
      <c r="I13" s="65"/>
      <c r="J13" s="52"/>
      <c r="L13" s="64"/>
      <c r="M13" s="63"/>
      <c r="N13" s="53"/>
      <c r="O13" s="54"/>
      <c r="P13" s="54"/>
      <c r="Q13" s="54"/>
      <c r="R13" s="54"/>
      <c r="S13" s="54"/>
      <c r="T13" s="54"/>
      <c r="U13" s="54"/>
      <c r="V13" s="65"/>
      <c r="W13" s="52"/>
      <c r="Y13" s="64"/>
    </row>
    <row r="14" spans="1:25" s="42" customFormat="1">
      <c r="A14" s="51" t="s">
        <v>68</v>
      </c>
      <c r="B14" s="52">
        <v>1</v>
      </c>
      <c r="C14" s="52">
        <v>1</v>
      </c>
      <c r="D14" s="52">
        <v>3</v>
      </c>
      <c r="E14" s="52">
        <v>3</v>
      </c>
      <c r="F14" s="52">
        <v>3</v>
      </c>
      <c r="G14" s="52">
        <v>1</v>
      </c>
      <c r="H14" s="52"/>
      <c r="I14" s="60">
        <f>SUM(B14:H14)</f>
        <v>12</v>
      </c>
      <c r="J14" s="52" t="s">
        <v>62</v>
      </c>
      <c r="K14" s="61">
        <v>1</v>
      </c>
      <c r="L14" s="62">
        <f>I14*K14</f>
        <v>12</v>
      </c>
      <c r="M14" s="63" t="s">
        <v>27</v>
      </c>
      <c r="N14" s="51" t="s">
        <v>68</v>
      </c>
      <c r="O14" s="52"/>
      <c r="P14" s="52"/>
      <c r="Q14" s="52"/>
      <c r="R14" s="52"/>
      <c r="S14" s="52"/>
      <c r="T14" s="52"/>
      <c r="U14" s="52"/>
      <c r="V14" s="60">
        <f>SUM(O14:U14)</f>
        <v>0</v>
      </c>
      <c r="W14" s="52" t="s">
        <v>62</v>
      </c>
      <c r="X14" s="61"/>
      <c r="Y14" s="62">
        <f>V14*X14</f>
        <v>0</v>
      </c>
    </row>
    <row r="15" spans="1:25" s="42" customFormat="1">
      <c r="A15" s="51" t="s">
        <v>69</v>
      </c>
      <c r="B15" s="52">
        <f>B14*$K$14</f>
        <v>1</v>
      </c>
      <c r="C15" s="52">
        <f t="shared" ref="C15:H15" si="8">C14*$K$14</f>
        <v>1</v>
      </c>
      <c r="D15" s="52">
        <f t="shared" si="8"/>
        <v>3</v>
      </c>
      <c r="E15" s="52">
        <f t="shared" si="8"/>
        <v>3</v>
      </c>
      <c r="F15" s="52">
        <f t="shared" si="8"/>
        <v>3</v>
      </c>
      <c r="G15" s="52">
        <f t="shared" si="8"/>
        <v>1</v>
      </c>
      <c r="H15" s="52">
        <f t="shared" si="8"/>
        <v>0</v>
      </c>
      <c r="I15" s="60">
        <f>SUM(B15:H15)</f>
        <v>12</v>
      </c>
      <c r="J15" s="52"/>
      <c r="L15" s="64"/>
      <c r="M15" s="63"/>
      <c r="N15" s="51" t="s">
        <v>69</v>
      </c>
      <c r="O15" s="52">
        <f>O14*$X$14</f>
        <v>0</v>
      </c>
      <c r="P15" s="52">
        <f t="shared" ref="P15:U15" si="9">P14*$X$14</f>
        <v>0</v>
      </c>
      <c r="Q15" s="52">
        <f t="shared" si="9"/>
        <v>0</v>
      </c>
      <c r="R15" s="52">
        <f t="shared" si="9"/>
        <v>0</v>
      </c>
      <c r="S15" s="52">
        <f t="shared" si="9"/>
        <v>0</v>
      </c>
      <c r="T15" s="52">
        <f t="shared" si="9"/>
        <v>0</v>
      </c>
      <c r="U15" s="52">
        <f t="shared" si="9"/>
        <v>0</v>
      </c>
      <c r="V15" s="60">
        <f>SUM(O15:U15)</f>
        <v>0</v>
      </c>
      <c r="W15" s="52"/>
      <c r="Y15" s="64"/>
    </row>
    <row r="16" spans="1:25" s="42" customFormat="1">
      <c r="A16" s="53"/>
      <c r="B16" s="54"/>
      <c r="C16" s="54"/>
      <c r="D16" s="54"/>
      <c r="E16" s="54"/>
      <c r="F16" s="54"/>
      <c r="G16" s="54"/>
      <c r="H16" s="54"/>
      <c r="I16" s="65"/>
      <c r="J16" s="52"/>
      <c r="L16" s="64"/>
      <c r="M16" s="63"/>
      <c r="N16" s="53"/>
      <c r="O16" s="54"/>
      <c r="P16" s="54"/>
      <c r="Q16" s="54"/>
      <c r="R16" s="54"/>
      <c r="S16" s="54"/>
      <c r="T16" s="54"/>
      <c r="U16" s="54"/>
      <c r="V16" s="65"/>
      <c r="W16" s="52"/>
      <c r="Y16" s="64"/>
    </row>
    <row r="17" spans="1:25" s="42" customFormat="1">
      <c r="A17" s="51" t="s">
        <v>70</v>
      </c>
      <c r="B17" s="52">
        <v>1</v>
      </c>
      <c r="C17" s="52">
        <v>1</v>
      </c>
      <c r="D17" s="52">
        <v>1</v>
      </c>
      <c r="E17" s="52">
        <v>1</v>
      </c>
      <c r="F17" s="52">
        <v>1</v>
      </c>
      <c r="G17" s="52">
        <v>1</v>
      </c>
      <c r="H17" s="52"/>
      <c r="I17" s="60">
        <f>SUM(B17:H17)</f>
        <v>6</v>
      </c>
      <c r="J17" s="52" t="s">
        <v>62</v>
      </c>
      <c r="K17" s="61">
        <v>1</v>
      </c>
      <c r="L17" s="62">
        <f>I17*K17</f>
        <v>6</v>
      </c>
      <c r="M17" s="63" t="s">
        <v>28</v>
      </c>
      <c r="N17" s="51" t="s">
        <v>70</v>
      </c>
      <c r="O17" s="52"/>
      <c r="P17" s="52"/>
      <c r="Q17" s="52"/>
      <c r="R17" s="52"/>
      <c r="S17" s="52"/>
      <c r="T17" s="52"/>
      <c r="U17" s="52"/>
      <c r="V17" s="60">
        <f>SUM(O17:U17)</f>
        <v>0</v>
      </c>
      <c r="W17" s="52" t="s">
        <v>62</v>
      </c>
      <c r="X17" s="61"/>
      <c r="Y17" s="62">
        <f>V17*X17</f>
        <v>0</v>
      </c>
    </row>
    <row r="18" spans="1:25" s="42" customFormat="1">
      <c r="A18" s="51" t="s">
        <v>71</v>
      </c>
      <c r="B18" s="52">
        <f>B17*$K$17</f>
        <v>1</v>
      </c>
      <c r="C18" s="52">
        <f t="shared" ref="C18:H18" si="10">C17*$K$17</f>
        <v>1</v>
      </c>
      <c r="D18" s="52">
        <f t="shared" si="10"/>
        <v>1</v>
      </c>
      <c r="E18" s="52">
        <f t="shared" si="10"/>
        <v>1</v>
      </c>
      <c r="F18" s="52">
        <f t="shared" si="10"/>
        <v>1</v>
      </c>
      <c r="G18" s="52">
        <f t="shared" si="10"/>
        <v>1</v>
      </c>
      <c r="H18" s="52">
        <f t="shared" si="10"/>
        <v>0</v>
      </c>
      <c r="I18" s="60">
        <f>SUM(B18:H18)</f>
        <v>6</v>
      </c>
      <c r="J18" s="52"/>
      <c r="L18" s="64"/>
      <c r="M18" s="63"/>
      <c r="N18" s="51" t="s">
        <v>71</v>
      </c>
      <c r="O18" s="52">
        <f>O17*$X$17</f>
        <v>0</v>
      </c>
      <c r="P18" s="52">
        <f t="shared" ref="P18:U18" si="11">P17*$X$17</f>
        <v>0</v>
      </c>
      <c r="Q18" s="52">
        <f t="shared" si="11"/>
        <v>0</v>
      </c>
      <c r="R18" s="52">
        <f t="shared" si="11"/>
        <v>0</v>
      </c>
      <c r="S18" s="52">
        <f t="shared" si="11"/>
        <v>0</v>
      </c>
      <c r="T18" s="52">
        <f t="shared" si="11"/>
        <v>0</v>
      </c>
      <c r="U18" s="52">
        <f t="shared" si="11"/>
        <v>0</v>
      </c>
      <c r="V18" s="60">
        <f>SUM(O18:U18)</f>
        <v>0</v>
      </c>
      <c r="W18" s="52"/>
      <c r="Y18" s="64"/>
    </row>
    <row r="19" spans="1:25" s="42" customFormat="1">
      <c r="A19" s="53"/>
      <c r="B19" s="54"/>
      <c r="C19" s="54"/>
      <c r="D19" s="54"/>
      <c r="E19" s="54"/>
      <c r="F19" s="54"/>
      <c r="G19" s="54"/>
      <c r="H19" s="54"/>
      <c r="I19" s="65"/>
      <c r="J19" s="52"/>
      <c r="L19" s="64"/>
      <c r="M19" s="63"/>
      <c r="N19" s="53"/>
      <c r="O19" s="54"/>
      <c r="P19" s="54"/>
      <c r="Q19" s="54"/>
      <c r="R19" s="54"/>
      <c r="S19" s="54"/>
      <c r="T19" s="54"/>
      <c r="U19" s="54"/>
      <c r="V19" s="65"/>
      <c r="W19" s="52"/>
      <c r="Y19" s="64"/>
    </row>
    <row r="20" spans="1:25" s="42" customFormat="1">
      <c r="A20" s="51" t="s">
        <v>72</v>
      </c>
      <c r="B20" s="52"/>
      <c r="C20" s="52">
        <v>1</v>
      </c>
      <c r="D20" s="52">
        <v>1</v>
      </c>
      <c r="E20" s="52">
        <v>1</v>
      </c>
      <c r="F20" s="52">
        <v>2</v>
      </c>
      <c r="G20" s="52">
        <v>1</v>
      </c>
      <c r="H20" s="52"/>
      <c r="I20" s="60">
        <f>SUM(B20:H20)</f>
        <v>6</v>
      </c>
      <c r="J20" s="52" t="s">
        <v>62</v>
      </c>
      <c r="K20" s="61">
        <v>2</v>
      </c>
      <c r="L20" s="62">
        <f>I20*K20</f>
        <v>12</v>
      </c>
      <c r="M20" s="63" t="s">
        <v>29</v>
      </c>
      <c r="N20" s="51" t="s">
        <v>72</v>
      </c>
      <c r="O20" s="52"/>
      <c r="P20" s="52"/>
      <c r="Q20" s="52"/>
      <c r="R20" s="52"/>
      <c r="S20" s="52"/>
      <c r="T20" s="52"/>
      <c r="U20" s="52"/>
      <c r="V20" s="60">
        <f>SUM(O20:U20)</f>
        <v>0</v>
      </c>
      <c r="W20" s="52" t="s">
        <v>62</v>
      </c>
      <c r="X20" s="61"/>
      <c r="Y20" s="62">
        <f>V20*X20</f>
        <v>0</v>
      </c>
    </row>
    <row r="21" spans="1:25" s="42" customFormat="1">
      <c r="A21" s="51" t="s">
        <v>73</v>
      </c>
      <c r="B21" s="52"/>
      <c r="C21" s="52">
        <f t="shared" ref="C21:H21" si="12">C20*$K$20</f>
        <v>2</v>
      </c>
      <c r="D21" s="52">
        <f t="shared" si="12"/>
        <v>2</v>
      </c>
      <c r="E21" s="52">
        <f t="shared" si="12"/>
        <v>2</v>
      </c>
      <c r="F21" s="52">
        <f t="shared" si="12"/>
        <v>4</v>
      </c>
      <c r="G21" s="52">
        <f t="shared" si="12"/>
        <v>2</v>
      </c>
      <c r="H21" s="52">
        <f t="shared" si="12"/>
        <v>0</v>
      </c>
      <c r="I21" s="60">
        <f>SUM(B21:H21)</f>
        <v>12</v>
      </c>
      <c r="J21" s="52"/>
      <c r="L21" s="64"/>
      <c r="M21" s="63"/>
      <c r="N21" s="51" t="s">
        <v>73</v>
      </c>
      <c r="O21" s="52"/>
      <c r="P21" s="52">
        <f t="shared" ref="P21:U21" si="13">P20*$X$20</f>
        <v>0</v>
      </c>
      <c r="Q21" s="52">
        <f t="shared" si="13"/>
        <v>0</v>
      </c>
      <c r="R21" s="52">
        <f t="shared" si="13"/>
        <v>0</v>
      </c>
      <c r="S21" s="52">
        <f t="shared" si="13"/>
        <v>0</v>
      </c>
      <c r="T21" s="52">
        <f t="shared" si="13"/>
        <v>0</v>
      </c>
      <c r="U21" s="52">
        <f t="shared" si="13"/>
        <v>0</v>
      </c>
      <c r="V21" s="60">
        <f>SUM(O21:U21)</f>
        <v>0</v>
      </c>
      <c r="W21" s="52"/>
      <c r="Y21" s="64"/>
    </row>
    <row r="22" spans="1:25" s="42" customFormat="1">
      <c r="A22" s="53"/>
      <c r="B22" s="54"/>
      <c r="C22" s="54"/>
      <c r="D22" s="54"/>
      <c r="E22" s="54"/>
      <c r="F22" s="54"/>
      <c r="G22" s="54"/>
      <c r="H22" s="54"/>
      <c r="I22" s="65"/>
      <c r="J22" s="52"/>
      <c r="L22" s="64"/>
      <c r="M22" s="63"/>
      <c r="N22" s="53"/>
      <c r="O22" s="54"/>
      <c r="P22" s="54"/>
      <c r="Q22" s="54"/>
      <c r="R22" s="54"/>
      <c r="S22" s="54"/>
      <c r="T22" s="54"/>
      <c r="U22" s="54"/>
      <c r="V22" s="65"/>
      <c r="W22" s="52"/>
      <c r="Y22" s="64"/>
    </row>
    <row r="23" spans="1:25" s="42" customFormat="1">
      <c r="A23" s="51" t="s">
        <v>74</v>
      </c>
      <c r="B23" s="52"/>
      <c r="C23" s="52"/>
      <c r="D23" s="52"/>
      <c r="E23" s="52"/>
      <c r="F23" s="52"/>
      <c r="G23" s="52"/>
      <c r="H23" s="52"/>
      <c r="I23" s="60">
        <f>SUM(B23:H23)</f>
        <v>0</v>
      </c>
      <c r="J23" s="52" t="s">
        <v>62</v>
      </c>
      <c r="K23" s="61"/>
      <c r="L23" s="62">
        <f>I23*K23</f>
        <v>0</v>
      </c>
      <c r="M23" s="63" t="s">
        <v>30</v>
      </c>
      <c r="N23" s="51" t="s">
        <v>74</v>
      </c>
      <c r="O23" s="52"/>
      <c r="P23" s="52"/>
      <c r="Q23" s="52"/>
      <c r="R23" s="52"/>
      <c r="S23" s="52"/>
      <c r="T23" s="52"/>
      <c r="U23" s="52"/>
      <c r="V23" s="60">
        <f>SUM(O23:U23)</f>
        <v>0</v>
      </c>
      <c r="W23" s="52" t="s">
        <v>62</v>
      </c>
      <c r="X23" s="61"/>
      <c r="Y23" s="62">
        <f>V23*X23</f>
        <v>0</v>
      </c>
    </row>
    <row r="24" spans="1:25" s="42" customFormat="1">
      <c r="A24" s="51" t="s">
        <v>75</v>
      </c>
      <c r="B24" s="52">
        <f>B23*$K$23</f>
        <v>0</v>
      </c>
      <c r="C24" s="52">
        <f t="shared" ref="C24:H24" si="14">C23*$K$23</f>
        <v>0</v>
      </c>
      <c r="D24" s="52">
        <f t="shared" si="14"/>
        <v>0</v>
      </c>
      <c r="E24" s="52">
        <f t="shared" si="14"/>
        <v>0</v>
      </c>
      <c r="F24" s="52">
        <f t="shared" si="14"/>
        <v>0</v>
      </c>
      <c r="G24" s="52">
        <f t="shared" si="14"/>
        <v>0</v>
      </c>
      <c r="H24" s="52">
        <f t="shared" si="14"/>
        <v>0</v>
      </c>
      <c r="I24" s="60">
        <f>SUM(B24:H24)</f>
        <v>0</v>
      </c>
      <c r="J24" s="52"/>
      <c r="L24" s="64"/>
      <c r="M24" s="63"/>
      <c r="N24" s="51" t="s">
        <v>75</v>
      </c>
      <c r="O24" s="52">
        <f>O23*$X$23</f>
        <v>0</v>
      </c>
      <c r="P24" s="52">
        <f t="shared" ref="P24:U24" si="15">P23*$X$23</f>
        <v>0</v>
      </c>
      <c r="Q24" s="52">
        <f t="shared" si="15"/>
        <v>0</v>
      </c>
      <c r="R24" s="52">
        <f t="shared" si="15"/>
        <v>0</v>
      </c>
      <c r="S24" s="52">
        <f t="shared" si="15"/>
        <v>0</v>
      </c>
      <c r="T24" s="52">
        <f t="shared" si="15"/>
        <v>0</v>
      </c>
      <c r="U24" s="52">
        <f t="shared" si="15"/>
        <v>0</v>
      </c>
      <c r="V24" s="60">
        <f>SUM(O24:U24)</f>
        <v>0</v>
      </c>
      <c r="W24" s="52"/>
      <c r="Y24" s="64"/>
    </row>
    <row r="25" spans="1:25" s="42" customFormat="1">
      <c r="A25" s="53"/>
      <c r="B25" s="54"/>
      <c r="C25" s="54"/>
      <c r="D25" s="54"/>
      <c r="E25" s="54"/>
      <c r="F25" s="54"/>
      <c r="G25" s="54"/>
      <c r="H25" s="54"/>
      <c r="I25" s="65"/>
      <c r="J25" s="52"/>
      <c r="L25" s="64"/>
      <c r="M25" s="63"/>
      <c r="N25" s="53"/>
      <c r="O25" s="54"/>
      <c r="P25" s="54"/>
      <c r="Q25" s="54"/>
      <c r="R25" s="54"/>
      <c r="S25" s="54"/>
      <c r="T25" s="54"/>
      <c r="U25" s="54"/>
      <c r="V25" s="65"/>
      <c r="W25" s="52"/>
      <c r="Y25" s="64"/>
    </row>
    <row r="26" spans="1:25" s="42" customFormat="1">
      <c r="A26" s="51" t="s">
        <v>76</v>
      </c>
      <c r="B26" s="52"/>
      <c r="C26" s="52"/>
      <c r="D26" s="52"/>
      <c r="E26" s="52"/>
      <c r="F26" s="52"/>
      <c r="G26" s="52"/>
      <c r="H26" s="52"/>
      <c r="I26" s="60">
        <f>SUM(B26:H26)</f>
        <v>0</v>
      </c>
      <c r="J26" s="52" t="s">
        <v>62</v>
      </c>
      <c r="K26" s="61"/>
      <c r="L26" s="62">
        <f>I26*K26</f>
        <v>0</v>
      </c>
      <c r="M26" s="63" t="s">
        <v>31</v>
      </c>
      <c r="N26" s="51" t="s">
        <v>76</v>
      </c>
      <c r="O26" s="52"/>
      <c r="P26" s="52"/>
      <c r="Q26" s="52"/>
      <c r="R26" s="52"/>
      <c r="S26" s="52"/>
      <c r="T26" s="52"/>
      <c r="U26" s="52"/>
      <c r="V26" s="60">
        <f>SUM(O26:U26)</f>
        <v>0</v>
      </c>
      <c r="W26" s="52" t="s">
        <v>62</v>
      </c>
      <c r="X26" s="61"/>
      <c r="Y26" s="62">
        <f>V26*X26</f>
        <v>0</v>
      </c>
    </row>
    <row r="27" spans="1:25" s="42" customFormat="1">
      <c r="A27" s="51" t="s">
        <v>77</v>
      </c>
      <c r="B27" s="52">
        <f t="shared" ref="B27:H27" si="16">B26*$K$26</f>
        <v>0</v>
      </c>
      <c r="C27" s="52">
        <f t="shared" si="16"/>
        <v>0</v>
      </c>
      <c r="D27" s="52">
        <f t="shared" si="16"/>
        <v>0</v>
      </c>
      <c r="E27" s="52">
        <f t="shared" si="16"/>
        <v>0</v>
      </c>
      <c r="F27" s="52">
        <f t="shared" si="16"/>
        <v>0</v>
      </c>
      <c r="G27" s="52">
        <f t="shared" si="16"/>
        <v>0</v>
      </c>
      <c r="H27" s="52">
        <f t="shared" si="16"/>
        <v>0</v>
      </c>
      <c r="I27" s="60">
        <f>SUM(B27:H27)</f>
        <v>0</v>
      </c>
      <c r="J27" s="52"/>
      <c r="L27" s="64"/>
      <c r="M27" s="63"/>
      <c r="N27" s="51" t="s">
        <v>77</v>
      </c>
      <c r="O27" s="52" t="e">
        <f>#N/A</f>
        <v>#N/A</v>
      </c>
      <c r="P27" s="52" t="e">
        <f>#N/A</f>
        <v>#N/A</v>
      </c>
      <c r="Q27" s="52" t="e">
        <f>#N/A</f>
        <v>#N/A</v>
      </c>
      <c r="R27" s="52" t="e">
        <f>#N/A</f>
        <v>#N/A</v>
      </c>
      <c r="S27" s="52" t="e">
        <f>#N/A</f>
        <v>#N/A</v>
      </c>
      <c r="T27" s="52"/>
      <c r="U27" s="52"/>
      <c r="V27" s="60" t="e">
        <f>SUM(O27:U27)</f>
        <v>#N/A</v>
      </c>
      <c r="W27" s="52"/>
      <c r="Y27" s="64"/>
    </row>
    <row r="28" spans="1:25" s="42" customFormat="1">
      <c r="A28" s="53"/>
      <c r="B28" s="54"/>
      <c r="C28" s="54"/>
      <c r="D28" s="54"/>
      <c r="E28" s="54"/>
      <c r="F28" s="54"/>
      <c r="G28" s="54"/>
      <c r="H28" s="54"/>
      <c r="I28" s="65"/>
      <c r="J28" s="52"/>
      <c r="L28" s="64"/>
      <c r="M28" s="63"/>
      <c r="N28" s="53"/>
      <c r="O28" s="54"/>
      <c r="P28" s="54"/>
      <c r="Q28" s="54"/>
      <c r="R28" s="54"/>
      <c r="S28" s="54"/>
      <c r="T28" s="54"/>
      <c r="U28" s="54"/>
      <c r="V28" s="65"/>
      <c r="W28" s="52"/>
      <c r="Y28" s="64"/>
    </row>
    <row r="29" spans="1:25" s="42" customFormat="1" ht="12.75" customHeight="1">
      <c r="A29" s="356" t="s">
        <v>78</v>
      </c>
      <c r="B29" s="56">
        <f t="shared" ref="B29:I29" si="17">SUM(B24,B21,B18,B15,B12,B9,B6,B27)</f>
        <v>6</v>
      </c>
      <c r="C29" s="56">
        <f t="shared" si="17"/>
        <v>10</v>
      </c>
      <c r="D29" s="56">
        <f t="shared" si="17"/>
        <v>18</v>
      </c>
      <c r="E29" s="56">
        <f t="shared" si="17"/>
        <v>18</v>
      </c>
      <c r="F29" s="56">
        <f t="shared" si="17"/>
        <v>16</v>
      </c>
      <c r="G29" s="56">
        <f t="shared" si="17"/>
        <v>10</v>
      </c>
      <c r="H29" s="56">
        <f t="shared" si="17"/>
        <v>0</v>
      </c>
      <c r="I29" s="56">
        <f t="shared" si="17"/>
        <v>78</v>
      </c>
      <c r="J29" s="52"/>
      <c r="L29" s="64"/>
      <c r="M29" s="63"/>
      <c r="N29" s="356" t="s">
        <v>78</v>
      </c>
      <c r="O29" s="56" t="e">
        <f t="shared" ref="O29:V29" si="18">SUM(O24,O21,O18,O15,O12,O9,O6,O27)</f>
        <v>#N/A</v>
      </c>
      <c r="P29" s="56" t="e">
        <f t="shared" si="18"/>
        <v>#N/A</v>
      </c>
      <c r="Q29" s="56" t="e">
        <f t="shared" si="18"/>
        <v>#N/A</v>
      </c>
      <c r="R29" s="56" t="e">
        <f t="shared" si="18"/>
        <v>#N/A</v>
      </c>
      <c r="S29" s="56" t="e">
        <f t="shared" si="18"/>
        <v>#N/A</v>
      </c>
      <c r="T29" s="56">
        <f t="shared" si="18"/>
        <v>7</v>
      </c>
      <c r="U29" s="56">
        <f t="shared" si="18"/>
        <v>0</v>
      </c>
      <c r="V29" s="56" t="e">
        <f t="shared" si="18"/>
        <v>#N/A</v>
      </c>
      <c r="W29" s="52"/>
      <c r="Y29" s="64"/>
    </row>
    <row r="30" spans="1:25">
      <c r="A30" s="357"/>
      <c r="B30" s="46"/>
      <c r="C30" s="46"/>
      <c r="D30" s="46"/>
      <c r="E30" s="46"/>
      <c r="F30" s="46"/>
      <c r="G30" s="46"/>
      <c r="H30" s="46"/>
      <c r="J30" s="46"/>
      <c r="K30" s="57">
        <f>SUM(K5:K28)</f>
        <v>8</v>
      </c>
      <c r="L30" s="67">
        <f>SUM(L5:L28)</f>
        <v>78</v>
      </c>
      <c r="N30" s="357"/>
      <c r="O30" s="46"/>
      <c r="P30" s="46"/>
      <c r="Q30" s="46"/>
      <c r="R30" s="46"/>
      <c r="S30" s="46"/>
      <c r="T30" s="46"/>
      <c r="U30" s="46"/>
      <c r="W30" s="46"/>
      <c r="X30" s="57">
        <f>SUM(X5:X28)</f>
        <v>5</v>
      </c>
      <c r="Y30" s="70">
        <f>SUM(Y5:Y28)</f>
        <v>60</v>
      </c>
    </row>
    <row r="31" spans="1:25">
      <c r="B31" s="57">
        <f t="shared" ref="B31:G31" si="19">B23+B17</f>
        <v>1</v>
      </c>
      <c r="C31" s="57">
        <f t="shared" si="19"/>
        <v>1</v>
      </c>
      <c r="D31" s="57">
        <f t="shared" si="19"/>
        <v>1</v>
      </c>
      <c r="E31" s="57">
        <f t="shared" si="19"/>
        <v>1</v>
      </c>
      <c r="F31" s="57">
        <f t="shared" si="19"/>
        <v>1</v>
      </c>
      <c r="G31" s="57">
        <f t="shared" si="19"/>
        <v>1</v>
      </c>
      <c r="H31" s="57"/>
    </row>
    <row r="34" spans="1:13" ht="18">
      <c r="A34" s="47">
        <f>'CONFIRMED PO'!C11</f>
        <v>0</v>
      </c>
      <c r="B34" s="48"/>
      <c r="C34" s="46"/>
      <c r="D34" s="46"/>
      <c r="E34" s="46"/>
      <c r="F34" s="46"/>
      <c r="G34" s="46"/>
      <c r="H34" s="46"/>
      <c r="J34" s="46"/>
    </row>
    <row r="35" spans="1:13">
      <c r="A35" s="58">
        <f>'CONFIRMED PO'!D13</f>
        <v>0</v>
      </c>
      <c r="B35" s="50">
        <f>B4</f>
        <v>35</v>
      </c>
      <c r="C35" s="50">
        <f t="shared" ref="C35:H35" si="20">B35+1</f>
        <v>36</v>
      </c>
      <c r="D35" s="50">
        <f t="shared" si="20"/>
        <v>37</v>
      </c>
      <c r="E35" s="50">
        <f t="shared" si="20"/>
        <v>38</v>
      </c>
      <c r="F35" s="50">
        <f t="shared" si="20"/>
        <v>39</v>
      </c>
      <c r="G35" s="50">
        <f t="shared" si="20"/>
        <v>40</v>
      </c>
      <c r="H35" s="50">
        <f t="shared" si="20"/>
        <v>41</v>
      </c>
      <c r="I35" s="59"/>
      <c r="J35" s="46"/>
      <c r="K35" s="46" t="s">
        <v>59</v>
      </c>
      <c r="L35" s="46" t="s">
        <v>60</v>
      </c>
    </row>
    <row r="36" spans="1:13" s="42" customFormat="1">
      <c r="A36" s="51" t="s">
        <v>61</v>
      </c>
      <c r="B36" s="52">
        <v>1</v>
      </c>
      <c r="C36" s="52">
        <v>1</v>
      </c>
      <c r="D36" s="52">
        <v>1</v>
      </c>
      <c r="E36" s="52">
        <v>1</v>
      </c>
      <c r="F36" s="52">
        <v>1</v>
      </c>
      <c r="G36" s="52">
        <v>1</v>
      </c>
      <c r="H36" s="52"/>
      <c r="I36" s="60">
        <f>SUM(B36:G36)</f>
        <v>6</v>
      </c>
      <c r="J36" s="52" t="s">
        <v>62</v>
      </c>
      <c r="K36" s="61"/>
      <c r="L36" s="62">
        <f>I36*K36</f>
        <v>0</v>
      </c>
      <c r="M36" s="63" t="s">
        <v>24</v>
      </c>
    </row>
    <row r="37" spans="1:13" s="42" customFormat="1">
      <c r="A37" s="51" t="s">
        <v>63</v>
      </c>
      <c r="B37" s="52">
        <f>B36*$K$36</f>
        <v>0</v>
      </c>
      <c r="C37" s="52" t="e">
        <f>#N/A</f>
        <v>#N/A</v>
      </c>
      <c r="D37" s="52" t="e">
        <f>#N/A</f>
        <v>#N/A</v>
      </c>
      <c r="E37" s="52" t="e">
        <f>#N/A</f>
        <v>#N/A</v>
      </c>
      <c r="F37" s="52" t="e">
        <f>#N/A</f>
        <v>#N/A</v>
      </c>
      <c r="G37" s="52" t="e">
        <f>#N/A</f>
        <v>#N/A</v>
      </c>
      <c r="H37" s="52"/>
      <c r="I37" s="60" t="e">
        <f>SUM(B37:G37)</f>
        <v>#N/A</v>
      </c>
      <c r="J37" s="52"/>
      <c r="L37" s="64"/>
      <c r="M37" s="63"/>
    </row>
    <row r="38" spans="1:13" s="42" customFormat="1">
      <c r="A38" s="53"/>
      <c r="B38" s="54"/>
      <c r="C38" s="54"/>
      <c r="D38" s="54"/>
      <c r="E38" s="54"/>
      <c r="F38" s="54"/>
      <c r="G38" s="54"/>
      <c r="H38" s="54"/>
      <c r="I38" s="65"/>
      <c r="J38" s="52"/>
      <c r="L38" s="64"/>
      <c r="M38" s="63"/>
    </row>
    <row r="39" spans="1:13" s="42" customFormat="1">
      <c r="A39" s="51" t="s">
        <v>64</v>
      </c>
      <c r="B39" s="52"/>
      <c r="C39" s="52"/>
      <c r="D39" s="52"/>
      <c r="E39" s="52"/>
      <c r="F39" s="52"/>
      <c r="G39" s="52"/>
      <c r="H39" s="52"/>
      <c r="I39" s="60">
        <f>SUM(B39:G39)</f>
        <v>0</v>
      </c>
      <c r="J39" s="52" t="s">
        <v>62</v>
      </c>
      <c r="K39" s="61"/>
      <c r="L39" s="62">
        <f>I39*K39</f>
        <v>0</v>
      </c>
      <c r="M39" s="63" t="s">
        <v>25</v>
      </c>
    </row>
    <row r="40" spans="1:13" s="42" customFormat="1">
      <c r="A40" s="51" t="s">
        <v>65</v>
      </c>
      <c r="B40" s="52">
        <f>B39*$K$39</f>
        <v>0</v>
      </c>
      <c r="C40" s="52" t="e">
        <f>#N/A</f>
        <v>#N/A</v>
      </c>
      <c r="D40" s="52" t="e">
        <f>#N/A</f>
        <v>#N/A</v>
      </c>
      <c r="E40" s="52" t="e">
        <f>#N/A</f>
        <v>#N/A</v>
      </c>
      <c r="F40" s="52" t="e">
        <f>#N/A</f>
        <v>#N/A</v>
      </c>
      <c r="G40" s="52" t="e">
        <f>#N/A</f>
        <v>#N/A</v>
      </c>
      <c r="H40" s="52"/>
      <c r="I40" s="60" t="e">
        <f>SUM(B40:G40)</f>
        <v>#N/A</v>
      </c>
      <c r="J40" s="52"/>
      <c r="L40" s="64"/>
      <c r="M40" s="63"/>
    </row>
    <row r="41" spans="1:13" s="42" customFormat="1">
      <c r="A41" s="53"/>
      <c r="B41" s="54"/>
      <c r="C41" s="54"/>
      <c r="D41" s="54"/>
      <c r="E41" s="54"/>
      <c r="F41" s="54"/>
      <c r="G41" s="54"/>
      <c r="H41" s="54"/>
      <c r="I41" s="66"/>
      <c r="J41" s="52"/>
      <c r="L41" s="64"/>
      <c r="M41" s="63"/>
    </row>
    <row r="42" spans="1:13" s="42" customFormat="1">
      <c r="A42" s="55" t="s">
        <v>66</v>
      </c>
      <c r="B42" s="52"/>
      <c r="C42" s="52"/>
      <c r="D42" s="52"/>
      <c r="E42" s="52"/>
      <c r="F42" s="52"/>
      <c r="G42" s="52"/>
      <c r="H42" s="52"/>
      <c r="I42" s="60">
        <f>SUM(B42:G42)</f>
        <v>0</v>
      </c>
      <c r="J42" s="52" t="s">
        <v>62</v>
      </c>
      <c r="K42" s="61"/>
      <c r="L42" s="62">
        <f>I42*K42</f>
        <v>0</v>
      </c>
      <c r="M42" s="63" t="s">
        <v>26</v>
      </c>
    </row>
    <row r="43" spans="1:13" s="42" customFormat="1">
      <c r="A43" s="51" t="s">
        <v>67</v>
      </c>
      <c r="B43" s="52">
        <f>B42*$K$42</f>
        <v>0</v>
      </c>
      <c r="C43" s="52" t="e">
        <f>#N/A</f>
        <v>#N/A</v>
      </c>
      <c r="D43" s="52" t="e">
        <f>#N/A</f>
        <v>#N/A</v>
      </c>
      <c r="E43" s="52" t="e">
        <f>#N/A</f>
        <v>#N/A</v>
      </c>
      <c r="F43" s="52" t="e">
        <f>#N/A</f>
        <v>#N/A</v>
      </c>
      <c r="G43" s="52" t="e">
        <f>#N/A</f>
        <v>#N/A</v>
      </c>
      <c r="H43" s="52"/>
      <c r="I43" s="60" t="e">
        <f>SUM(B43:G43)</f>
        <v>#N/A</v>
      </c>
      <c r="J43" s="52"/>
      <c r="L43" s="64"/>
      <c r="M43" s="63"/>
    </row>
    <row r="44" spans="1:13" s="42" customFormat="1">
      <c r="A44" s="53"/>
      <c r="B44" s="54"/>
      <c r="C44" s="54"/>
      <c r="D44" s="54"/>
      <c r="E44" s="54"/>
      <c r="F44" s="54"/>
      <c r="G44" s="54"/>
      <c r="H44" s="54"/>
      <c r="I44" s="65"/>
      <c r="J44" s="52"/>
      <c r="L44" s="64"/>
      <c r="M44" s="63"/>
    </row>
    <row r="45" spans="1:13" s="42" customFormat="1">
      <c r="A45" s="51" t="s">
        <v>68</v>
      </c>
      <c r="B45" s="52"/>
      <c r="C45" s="52"/>
      <c r="D45" s="52"/>
      <c r="E45" s="52"/>
      <c r="F45" s="52"/>
      <c r="G45" s="52"/>
      <c r="H45" s="52"/>
      <c r="I45" s="60">
        <f>SUM(B45:G45)</f>
        <v>0</v>
      </c>
      <c r="J45" s="52" t="s">
        <v>62</v>
      </c>
      <c r="K45" s="61"/>
      <c r="L45" s="62">
        <f>I45*K45</f>
        <v>0</v>
      </c>
      <c r="M45" s="63" t="s">
        <v>27</v>
      </c>
    </row>
    <row r="46" spans="1:13" s="42" customFormat="1">
      <c r="A46" s="51" t="s">
        <v>69</v>
      </c>
      <c r="B46" s="52">
        <f>B45*$K$45</f>
        <v>0</v>
      </c>
      <c r="C46" s="52" t="e">
        <f>#N/A</f>
        <v>#N/A</v>
      </c>
      <c r="D46" s="52" t="e">
        <f>#N/A</f>
        <v>#N/A</v>
      </c>
      <c r="E46" s="52" t="e">
        <f>#N/A</f>
        <v>#N/A</v>
      </c>
      <c r="F46" s="52" t="e">
        <f>#N/A</f>
        <v>#N/A</v>
      </c>
      <c r="G46" s="52" t="e">
        <f>#N/A</f>
        <v>#N/A</v>
      </c>
      <c r="H46" s="52"/>
      <c r="I46" s="60" t="e">
        <f>SUM(B46:G46)</f>
        <v>#N/A</v>
      </c>
      <c r="J46" s="52"/>
      <c r="L46" s="64"/>
      <c r="M46" s="63"/>
    </row>
    <row r="47" spans="1:13" s="42" customFormat="1">
      <c r="A47" s="53"/>
      <c r="B47" s="54"/>
      <c r="C47" s="54"/>
      <c r="D47" s="54"/>
      <c r="E47" s="54"/>
      <c r="F47" s="54"/>
      <c r="G47" s="54"/>
      <c r="H47" s="54"/>
      <c r="I47" s="65"/>
      <c r="J47" s="52"/>
      <c r="L47" s="64"/>
      <c r="M47" s="63"/>
    </row>
    <row r="48" spans="1:13" s="42" customFormat="1">
      <c r="A48" s="51" t="s">
        <v>70</v>
      </c>
      <c r="B48" s="52">
        <v>1</v>
      </c>
      <c r="C48" s="52">
        <v>1</v>
      </c>
      <c r="D48" s="52">
        <v>1</v>
      </c>
      <c r="E48" s="52">
        <v>1</v>
      </c>
      <c r="F48" s="52">
        <v>1</v>
      </c>
      <c r="G48" s="52">
        <v>1</v>
      </c>
      <c r="H48" s="52"/>
      <c r="I48" s="60">
        <f>SUM(B48:H48)</f>
        <v>6</v>
      </c>
      <c r="J48" s="52" t="s">
        <v>62</v>
      </c>
      <c r="K48" s="61">
        <v>5</v>
      </c>
      <c r="L48" s="62">
        <f>I48*K48</f>
        <v>30</v>
      </c>
      <c r="M48" s="63" t="s">
        <v>28</v>
      </c>
    </row>
    <row r="49" spans="1:29" s="42" customFormat="1">
      <c r="A49" s="51" t="s">
        <v>71</v>
      </c>
      <c r="B49" s="52">
        <f>B48*$K$48</f>
        <v>5</v>
      </c>
      <c r="C49" s="52">
        <f t="shared" ref="C49:H49" si="21">C48*$K$48</f>
        <v>5</v>
      </c>
      <c r="D49" s="52">
        <f t="shared" si="21"/>
        <v>5</v>
      </c>
      <c r="E49" s="52">
        <f t="shared" si="21"/>
        <v>5</v>
      </c>
      <c r="F49" s="52">
        <f t="shared" si="21"/>
        <v>5</v>
      </c>
      <c r="G49" s="52">
        <f t="shared" si="21"/>
        <v>5</v>
      </c>
      <c r="H49" s="52">
        <f t="shared" si="21"/>
        <v>0</v>
      </c>
      <c r="I49" s="60">
        <f>SUM(B49:H49)</f>
        <v>30</v>
      </c>
      <c r="J49" s="52"/>
      <c r="L49" s="64"/>
      <c r="M49" s="63"/>
    </row>
    <row r="50" spans="1:29" s="42" customFormat="1">
      <c r="A50" s="53"/>
      <c r="B50" s="54"/>
      <c r="C50" s="54"/>
      <c r="D50" s="54"/>
      <c r="E50" s="54"/>
      <c r="F50" s="54"/>
      <c r="G50" s="54"/>
      <c r="H50" s="54"/>
      <c r="I50" s="65"/>
      <c r="J50" s="52"/>
      <c r="L50" s="64"/>
      <c r="M50" s="63"/>
    </row>
    <row r="51" spans="1:29" s="42" customFormat="1">
      <c r="A51" s="51" t="s">
        <v>72</v>
      </c>
      <c r="B51" s="52"/>
      <c r="C51" s="52"/>
      <c r="D51" s="52"/>
      <c r="E51" s="52"/>
      <c r="F51" s="52"/>
      <c r="G51" s="52"/>
      <c r="H51" s="52"/>
      <c r="I51" s="60">
        <f>SUM(B51:H51)</f>
        <v>0</v>
      </c>
      <c r="J51" s="52" t="s">
        <v>62</v>
      </c>
      <c r="K51" s="61"/>
      <c r="L51" s="62">
        <f>I51*K51</f>
        <v>0</v>
      </c>
      <c r="M51" s="63" t="s">
        <v>29</v>
      </c>
    </row>
    <row r="52" spans="1:29" s="42" customFormat="1">
      <c r="A52" s="51" t="s">
        <v>73</v>
      </c>
      <c r="B52" s="52"/>
      <c r="C52" s="52">
        <f t="shared" ref="C52:H52" si="22">C51*$K$51</f>
        <v>0</v>
      </c>
      <c r="D52" s="52">
        <f t="shared" si="22"/>
        <v>0</v>
      </c>
      <c r="E52" s="52">
        <f t="shared" si="22"/>
        <v>0</v>
      </c>
      <c r="F52" s="52">
        <f t="shared" si="22"/>
        <v>0</v>
      </c>
      <c r="G52" s="52">
        <f t="shared" si="22"/>
        <v>0</v>
      </c>
      <c r="H52" s="52">
        <f t="shared" si="22"/>
        <v>0</v>
      </c>
      <c r="I52" s="60">
        <f>SUM(B52:H52)</f>
        <v>0</v>
      </c>
      <c r="J52" s="52"/>
      <c r="L52" s="64"/>
      <c r="M52" s="63"/>
    </row>
    <row r="53" spans="1:29" s="42" customFormat="1">
      <c r="A53" s="53"/>
      <c r="B53" s="54"/>
      <c r="C53" s="54"/>
      <c r="D53" s="54"/>
      <c r="E53" s="54"/>
      <c r="F53" s="54"/>
      <c r="G53" s="54"/>
      <c r="H53" s="54"/>
      <c r="I53" s="65"/>
      <c r="J53" s="52"/>
      <c r="L53" s="64"/>
      <c r="M53" s="63"/>
    </row>
    <row r="54" spans="1:29" s="42" customFormat="1">
      <c r="A54" s="51" t="s">
        <v>74</v>
      </c>
      <c r="B54" s="52"/>
      <c r="C54" s="52"/>
      <c r="D54" s="52"/>
      <c r="E54" s="52"/>
      <c r="F54" s="52"/>
      <c r="G54" s="52"/>
      <c r="H54" s="52"/>
      <c r="I54" s="60">
        <f>SUM(B54:G54)</f>
        <v>0</v>
      </c>
      <c r="J54" s="52" t="s">
        <v>62</v>
      </c>
      <c r="K54" s="61"/>
      <c r="L54" s="62">
        <f>I54*K54</f>
        <v>0</v>
      </c>
      <c r="M54" s="63" t="s">
        <v>30</v>
      </c>
    </row>
    <row r="55" spans="1:29" s="42" customFormat="1">
      <c r="A55" s="51" t="s">
        <v>75</v>
      </c>
      <c r="B55" s="52">
        <f>B54*$K$54</f>
        <v>0</v>
      </c>
      <c r="C55" s="52" t="e">
        <f>#N/A</f>
        <v>#N/A</v>
      </c>
      <c r="D55" s="52" t="e">
        <f>#N/A</f>
        <v>#N/A</v>
      </c>
      <c r="E55" s="52" t="e">
        <f>#N/A</f>
        <v>#N/A</v>
      </c>
      <c r="F55" s="52" t="e">
        <f>#N/A</f>
        <v>#N/A</v>
      </c>
      <c r="G55" s="52" t="e">
        <f>#N/A</f>
        <v>#N/A</v>
      </c>
      <c r="H55" s="52"/>
      <c r="I55" s="60" t="e">
        <f>SUM(B55:G55)</f>
        <v>#N/A</v>
      </c>
      <c r="J55" s="52"/>
      <c r="L55" s="64"/>
      <c r="M55" s="63"/>
    </row>
    <row r="56" spans="1:29" s="42" customFormat="1">
      <c r="A56" s="53"/>
      <c r="B56" s="54"/>
      <c r="C56" s="54"/>
      <c r="D56" s="54"/>
      <c r="E56" s="54"/>
      <c r="F56" s="54"/>
      <c r="G56" s="54"/>
      <c r="H56" s="54"/>
      <c r="I56" s="65"/>
      <c r="J56" s="52"/>
      <c r="L56" s="64"/>
      <c r="M56" s="63"/>
    </row>
    <row r="57" spans="1:29" s="42" customFormat="1">
      <c r="A57" s="51" t="s">
        <v>76</v>
      </c>
      <c r="B57" s="52"/>
      <c r="C57" s="52"/>
      <c r="D57" s="52"/>
      <c r="E57" s="52"/>
      <c r="F57" s="52"/>
      <c r="G57" s="52"/>
      <c r="H57" s="52"/>
      <c r="I57" s="60">
        <f>SUM(B57:G57)</f>
        <v>0</v>
      </c>
      <c r="J57" s="52" t="s">
        <v>62</v>
      </c>
      <c r="K57" s="61"/>
      <c r="L57" s="62">
        <f>I57*K57</f>
        <v>0</v>
      </c>
      <c r="M57" s="63" t="s">
        <v>31</v>
      </c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2"/>
      <c r="Z57" s="68"/>
      <c r="AA57" s="68"/>
      <c r="AB57" s="68"/>
      <c r="AC57" s="68"/>
    </row>
    <row r="58" spans="1:29" s="42" customFormat="1">
      <c r="A58" s="51" t="s">
        <v>77</v>
      </c>
      <c r="B58" s="52" t="e">
        <f>#N/A</f>
        <v>#N/A</v>
      </c>
      <c r="C58" s="52" t="e">
        <f>#N/A</f>
        <v>#N/A</v>
      </c>
      <c r="D58" s="52" t="e">
        <f>#N/A</f>
        <v>#N/A</v>
      </c>
      <c r="E58" s="52" t="e">
        <f>#N/A</f>
        <v>#N/A</v>
      </c>
      <c r="F58" s="52" t="e">
        <f>#N/A</f>
        <v>#N/A</v>
      </c>
      <c r="G58" s="52"/>
      <c r="H58" s="52"/>
      <c r="I58" s="60" t="e">
        <f>SUM(B58:G58)</f>
        <v>#N/A</v>
      </c>
      <c r="J58" s="52"/>
      <c r="L58" s="64"/>
      <c r="M58" s="63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8"/>
      <c r="Y58" s="62"/>
      <c r="Z58" s="68"/>
      <c r="AA58" s="68"/>
      <c r="AB58" s="68"/>
      <c r="AC58" s="68"/>
    </row>
    <row r="59" spans="1:29" s="42" customFormat="1">
      <c r="A59" s="51"/>
      <c r="B59" s="54"/>
      <c r="C59" s="54"/>
      <c r="D59" s="54"/>
      <c r="E59" s="54"/>
      <c r="F59" s="54"/>
      <c r="G59" s="54"/>
      <c r="H59" s="54"/>
      <c r="I59" s="65"/>
      <c r="J59" s="52"/>
      <c r="L59" s="64"/>
      <c r="M59" s="63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8"/>
      <c r="Y59" s="62"/>
      <c r="Z59" s="68"/>
      <c r="AA59" s="68"/>
      <c r="AB59" s="68"/>
      <c r="AC59" s="68"/>
    </row>
    <row r="60" spans="1:29" s="42" customFormat="1">
      <c r="A60" s="356" t="s">
        <v>78</v>
      </c>
      <c r="B60" s="56" t="e">
        <f t="shared" ref="B60:I60" si="23">SUM(B55,B52,B49,B46,B43,B40,B37,B58)</f>
        <v>#N/A</v>
      </c>
      <c r="C60" s="56" t="e">
        <f t="shared" si="23"/>
        <v>#N/A</v>
      </c>
      <c r="D60" s="56" t="e">
        <f t="shared" si="23"/>
        <v>#N/A</v>
      </c>
      <c r="E60" s="56" t="e">
        <f t="shared" si="23"/>
        <v>#N/A</v>
      </c>
      <c r="F60" s="56" t="e">
        <f t="shared" si="23"/>
        <v>#N/A</v>
      </c>
      <c r="G60" s="56" t="e">
        <f t="shared" si="23"/>
        <v>#N/A</v>
      </c>
      <c r="H60" s="56">
        <f t="shared" si="23"/>
        <v>0</v>
      </c>
      <c r="I60" s="56" t="e">
        <f t="shared" si="23"/>
        <v>#N/A</v>
      </c>
      <c r="J60" s="52"/>
      <c r="L60" s="64"/>
      <c r="M60" s="63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</row>
    <row r="61" spans="1:29" s="42" customFormat="1">
      <c r="A61" s="358"/>
      <c r="B61" s="52"/>
      <c r="C61" s="52"/>
      <c r="D61" s="52"/>
      <c r="E61" s="52"/>
      <c r="F61" s="52"/>
      <c r="G61" s="52"/>
      <c r="H61" s="52"/>
      <c r="J61" s="52"/>
      <c r="K61" s="42">
        <f>SUM(K36:K59)</f>
        <v>5</v>
      </c>
      <c r="L61" s="69">
        <f>SUM(L36:L59)</f>
        <v>30</v>
      </c>
      <c r="M61" s="63"/>
    </row>
  </sheetData>
  <mergeCells count="4">
    <mergeCell ref="N1:O1"/>
    <mergeCell ref="A29:A30"/>
    <mergeCell ref="A60:A61"/>
    <mergeCell ref="N29:N30"/>
  </mergeCells>
  <pageMargins left="0.23622047244094491" right="0.23622047244094491" top="0.98425196850393704" bottom="0.98425196850393704" header="0.31496062992125984" footer="0.31496062992125984"/>
  <pageSetup paperSize="5" scale="8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8"/>
  <sheetViews>
    <sheetView zoomScaleSheetLayoutView="100" workbookViewId="0">
      <pane xSplit="1" ySplit="2" topLeftCell="AA3" activePane="bottomRight" state="frozen"/>
      <selection pane="topRight"/>
      <selection pane="bottomLeft"/>
      <selection pane="bottomRight" activeCell="AG3" sqref="AG3:AG8"/>
    </sheetView>
  </sheetViews>
  <sheetFormatPr defaultColWidth="8.7109375" defaultRowHeight="12.75"/>
  <cols>
    <col min="2" max="3" width="16.85546875" customWidth="1"/>
    <col min="4" max="5" width="13.85546875" customWidth="1"/>
    <col min="6" max="8" width="4.42578125" customWidth="1"/>
    <col min="9" max="9" width="7.7109375" customWidth="1"/>
    <col min="10" max="10" width="13.140625" customWidth="1"/>
    <col min="11" max="11" width="16" customWidth="1"/>
    <col min="12" max="12" width="11.85546875" customWidth="1"/>
    <col min="13" max="13" width="13.28515625" customWidth="1"/>
    <col min="14" max="16" width="20.42578125" customWidth="1"/>
    <col min="17" max="19" width="17.7109375" customWidth="1"/>
    <col min="20" max="20" width="19.5703125" customWidth="1"/>
    <col min="21" max="21" width="19.7109375" customWidth="1"/>
    <col min="22" max="24" width="26.140625" customWidth="1"/>
    <col min="25" max="25" width="16.42578125" customWidth="1"/>
    <col min="26" max="26" width="13.85546875" customWidth="1"/>
    <col min="27" max="27" width="11" customWidth="1"/>
    <col min="28" max="30" width="12" customWidth="1"/>
    <col min="31" max="33" width="22.140625" customWidth="1"/>
    <col min="34" max="36" width="15.140625" customWidth="1"/>
    <col min="37" max="39" width="21.85546875" customWidth="1"/>
    <col min="40" max="40" width="15.85546875" customWidth="1"/>
    <col min="43" max="43" width="12.85546875" bestFit="1" customWidth="1"/>
  </cols>
  <sheetData>
    <row r="1" spans="1:43" ht="15">
      <c r="B1" s="359" t="s">
        <v>79</v>
      </c>
      <c r="C1" s="360"/>
      <c r="D1" s="361"/>
      <c r="E1" s="361"/>
      <c r="F1" s="361"/>
      <c r="G1" s="361"/>
      <c r="H1" s="361"/>
      <c r="I1" s="361"/>
      <c r="J1" s="361"/>
      <c r="K1" s="361"/>
      <c r="L1" s="361"/>
      <c r="M1" s="362"/>
      <c r="N1" s="360" t="s">
        <v>80</v>
      </c>
      <c r="O1" s="360"/>
      <c r="P1" s="360"/>
      <c r="Q1" s="361"/>
      <c r="R1" s="361"/>
      <c r="S1" s="361"/>
      <c r="T1" s="361"/>
      <c r="U1" s="363"/>
      <c r="V1" s="364" t="s">
        <v>81</v>
      </c>
      <c r="W1" s="360"/>
      <c r="X1" s="360"/>
      <c r="Y1" s="361"/>
      <c r="Z1" s="362"/>
      <c r="AA1" s="29" t="s">
        <v>82</v>
      </c>
      <c r="AB1" s="360" t="s">
        <v>83</v>
      </c>
      <c r="AC1" s="360"/>
      <c r="AD1" s="360"/>
      <c r="AE1" s="361"/>
      <c r="AF1" s="361"/>
      <c r="AG1" s="361"/>
      <c r="AH1" s="361"/>
      <c r="AI1" s="361"/>
      <c r="AJ1" s="361"/>
      <c r="AK1" s="361"/>
      <c r="AL1" s="363"/>
      <c r="AM1" s="363"/>
      <c r="AN1" s="363"/>
    </row>
    <row r="2" spans="1:43" ht="15">
      <c r="B2" s="1" t="s">
        <v>84</v>
      </c>
      <c r="C2" s="2"/>
      <c r="D2" s="3" t="s">
        <v>85</v>
      </c>
      <c r="E2" s="3"/>
      <c r="F2" s="3" t="s">
        <v>86</v>
      </c>
      <c r="G2" s="3"/>
      <c r="H2" s="3"/>
      <c r="I2" s="3" t="s">
        <v>87</v>
      </c>
      <c r="J2" s="3" t="s">
        <v>88</v>
      </c>
      <c r="K2" s="3" t="s">
        <v>89</v>
      </c>
      <c r="L2" s="3" t="s">
        <v>90</v>
      </c>
      <c r="M2" s="15" t="s">
        <v>91</v>
      </c>
      <c r="N2" s="2" t="s">
        <v>92</v>
      </c>
      <c r="O2" s="2"/>
      <c r="P2" s="2"/>
      <c r="Q2" s="3" t="s">
        <v>93</v>
      </c>
      <c r="R2" s="3"/>
      <c r="S2" s="3"/>
      <c r="T2" s="3" t="s">
        <v>94</v>
      </c>
      <c r="U2" s="20" t="s">
        <v>95</v>
      </c>
      <c r="V2" s="21" t="s">
        <v>96</v>
      </c>
      <c r="W2" s="2"/>
      <c r="X2" s="2"/>
      <c r="Y2" s="3" t="s">
        <v>97</v>
      </c>
      <c r="Z2" s="15" t="s">
        <v>98</v>
      </c>
      <c r="AA2" s="30" t="s">
        <v>99</v>
      </c>
      <c r="AB2" s="2" t="s">
        <v>100</v>
      </c>
      <c r="AC2" s="2"/>
      <c r="AD2" s="2"/>
      <c r="AE2" s="3" t="s">
        <v>101</v>
      </c>
      <c r="AF2" s="3"/>
      <c r="AG2" s="3"/>
      <c r="AH2" s="3" t="s">
        <v>102</v>
      </c>
      <c r="AI2" s="3"/>
      <c r="AJ2" s="3"/>
      <c r="AK2" s="3" t="s">
        <v>103</v>
      </c>
      <c r="AL2" s="20"/>
      <c r="AM2" s="20"/>
      <c r="AN2" s="20" t="s">
        <v>104</v>
      </c>
    </row>
    <row r="3" spans="1:43" ht="15">
      <c r="A3" s="4" t="s">
        <v>105</v>
      </c>
      <c r="B3" s="5">
        <v>5</v>
      </c>
      <c r="C3" s="6">
        <f t="shared" ref="C3:C8" si="0">B3/SUM($B$3:$B$8)</f>
        <v>9.8039215686274508E-2</v>
      </c>
      <c r="D3" s="7">
        <v>3</v>
      </c>
      <c r="E3" s="6">
        <f t="shared" ref="E3:E8" si="1">D3/SUM($D$3:$D$8)</f>
        <v>9.0909090909090912E-2</v>
      </c>
      <c r="F3" s="7">
        <v>5</v>
      </c>
      <c r="G3" s="8">
        <f t="shared" ref="G3:G8" si="2">F3/SUM($F$3:$F$8)</f>
        <v>5.8139534883720929E-2</v>
      </c>
      <c r="H3" s="7">
        <f t="shared" ref="H3:H8" si="3">G3*$G$9</f>
        <v>0.46511627906976744</v>
      </c>
      <c r="I3" s="7">
        <v>1</v>
      </c>
      <c r="N3" s="16">
        <v>6</v>
      </c>
      <c r="O3" s="6">
        <f t="shared" ref="O3:O8" si="4">N3/SUM(N$3:N$8)</f>
        <v>7.4999999999999997E-2</v>
      </c>
      <c r="P3" s="17">
        <f t="shared" ref="P3:P8" si="5">O3*O$9</f>
        <v>0.89999999999999991</v>
      </c>
      <c r="Q3" s="7">
        <v>6</v>
      </c>
      <c r="R3" s="8">
        <f t="shared" ref="R3:R8" si="6">Q3/SUM($Q$3:$Q$8)</f>
        <v>0.13953488372093023</v>
      </c>
      <c r="S3" s="22">
        <f t="shared" ref="S3:S8" si="7">R3*$R$9</f>
        <v>1.6744186046511627</v>
      </c>
      <c r="T3" s="7"/>
      <c r="U3" s="23"/>
      <c r="V3" s="24">
        <v>3</v>
      </c>
      <c r="W3" s="6">
        <f t="shared" ref="W3:W8" si="8">V3/SUM(V$3:V$8)</f>
        <v>6.6666666666666666E-2</v>
      </c>
      <c r="X3" s="17">
        <f t="shared" ref="X3:X8" si="9">W3*W$9</f>
        <v>0.8</v>
      </c>
      <c r="Y3" s="7">
        <v>3</v>
      </c>
      <c r="Z3" s="31"/>
      <c r="AA3" s="32">
        <v>1</v>
      </c>
      <c r="AB3" s="16">
        <v>3</v>
      </c>
      <c r="AC3" s="6">
        <f>AB3/SUM($AB$3:$AB$8)</f>
        <v>0.06</v>
      </c>
      <c r="AD3" s="16" t="e">
        <f>#N/A</f>
        <v>#N/A</v>
      </c>
      <c r="AE3" s="7">
        <v>10</v>
      </c>
      <c r="AF3" s="8">
        <f t="shared" ref="AF3:AF8" si="10">AE3/SUM($AE$3:$AE$8)</f>
        <v>0.11363636363636363</v>
      </c>
      <c r="AG3" s="7">
        <f t="shared" ref="AG3:AG8" si="11">AF3*$AF$9</f>
        <v>2.2727272727272725</v>
      </c>
      <c r="AH3" s="7">
        <v>8</v>
      </c>
      <c r="AI3" s="8">
        <f t="shared" ref="AI3:AI8" si="12">AH3/SUM($AH$3:$AH$8)</f>
        <v>0.13333333333333333</v>
      </c>
      <c r="AJ3" s="7">
        <f t="shared" ref="AJ3:AJ8" si="13">AI3*$AI$9</f>
        <v>2.6666666666666665</v>
      </c>
      <c r="AK3" s="23">
        <v>6</v>
      </c>
      <c r="AL3" s="38">
        <f t="shared" ref="AL3:AL8" si="14">AK3/SUM($AK$3:$AK$8)</f>
        <v>0.13043478260869565</v>
      </c>
      <c r="AM3" s="23">
        <f t="shared" ref="AM3:AM8" si="15">AL3*$AL$9</f>
        <v>2.6086956521739131</v>
      </c>
      <c r="AN3" s="23">
        <v>6</v>
      </c>
      <c r="AO3" s="39">
        <v>41</v>
      </c>
      <c r="AP3" s="40">
        <v>0.10301507537688442</v>
      </c>
      <c r="AQ3" s="41">
        <f t="shared" ref="AQ3:AQ8" si="16">AP3*$AP$9</f>
        <v>1.6482412060301508</v>
      </c>
    </row>
    <row r="4" spans="1:43" ht="15">
      <c r="A4" s="9" t="s">
        <v>106</v>
      </c>
      <c r="B4" s="10">
        <v>6</v>
      </c>
      <c r="C4" s="6">
        <f t="shared" si="0"/>
        <v>0.11764705882352941</v>
      </c>
      <c r="D4" s="11">
        <v>3</v>
      </c>
      <c r="E4" s="6">
        <f t="shared" si="1"/>
        <v>9.0909090909090912E-2</v>
      </c>
      <c r="F4" s="11">
        <v>19</v>
      </c>
      <c r="G4" s="8">
        <f t="shared" si="2"/>
        <v>0.22093023255813954</v>
      </c>
      <c r="H4" s="7">
        <f t="shared" si="3"/>
        <v>1.7674418604651163</v>
      </c>
      <c r="I4" s="11">
        <v>1</v>
      </c>
      <c r="N4" s="18">
        <v>15</v>
      </c>
      <c r="O4" s="6">
        <f t="shared" si="4"/>
        <v>0.1875</v>
      </c>
      <c r="P4" s="17">
        <f t="shared" si="5"/>
        <v>2.25</v>
      </c>
      <c r="Q4" s="11">
        <v>6</v>
      </c>
      <c r="R4" s="8">
        <f t="shared" si="6"/>
        <v>0.13953488372093023</v>
      </c>
      <c r="S4" s="22">
        <f t="shared" si="7"/>
        <v>1.6744186046511627</v>
      </c>
      <c r="T4" s="11"/>
      <c r="U4" s="25"/>
      <c r="V4" s="26">
        <v>9</v>
      </c>
      <c r="W4" s="6">
        <f t="shared" si="8"/>
        <v>0.2</v>
      </c>
      <c r="X4" s="17">
        <f t="shared" si="9"/>
        <v>2.4000000000000004</v>
      </c>
      <c r="Y4" s="11">
        <v>6</v>
      </c>
      <c r="Z4" s="33"/>
      <c r="AA4" s="34">
        <v>3</v>
      </c>
      <c r="AB4" s="18">
        <v>10</v>
      </c>
      <c r="AC4" s="6">
        <f>AB4/SUM($AB$3:$AB$8)</f>
        <v>0.2</v>
      </c>
      <c r="AD4" s="16" t="e">
        <f>#N/A</f>
        <v>#N/A</v>
      </c>
      <c r="AE4" s="11">
        <v>16</v>
      </c>
      <c r="AF4" s="8">
        <f t="shared" si="10"/>
        <v>0.18181818181818182</v>
      </c>
      <c r="AG4" s="7">
        <f t="shared" si="11"/>
        <v>3.6363636363636367</v>
      </c>
      <c r="AH4" s="11">
        <v>10</v>
      </c>
      <c r="AI4" s="8">
        <f t="shared" si="12"/>
        <v>0.16666666666666666</v>
      </c>
      <c r="AJ4" s="7">
        <f t="shared" si="13"/>
        <v>3.333333333333333</v>
      </c>
      <c r="AK4" s="25">
        <v>9</v>
      </c>
      <c r="AL4" s="38">
        <f t="shared" si="14"/>
        <v>0.19565217391304349</v>
      </c>
      <c r="AM4" s="23">
        <f t="shared" si="15"/>
        <v>3.9130434782608696</v>
      </c>
      <c r="AN4" s="25">
        <v>9</v>
      </c>
      <c r="AO4" s="39">
        <v>74</v>
      </c>
      <c r="AP4" s="40">
        <v>0.18592964824120603</v>
      </c>
      <c r="AQ4" s="41">
        <f t="shared" si="16"/>
        <v>2.9748743718592965</v>
      </c>
    </row>
    <row r="5" spans="1:43" ht="15">
      <c r="A5" s="9" t="s">
        <v>107</v>
      </c>
      <c r="B5" s="10">
        <v>10</v>
      </c>
      <c r="C5" s="6">
        <f t="shared" si="0"/>
        <v>0.19607843137254902</v>
      </c>
      <c r="D5" s="11">
        <v>11</v>
      </c>
      <c r="E5" s="6">
        <f t="shared" si="1"/>
        <v>0.33333333333333331</v>
      </c>
      <c r="F5" s="11">
        <v>24</v>
      </c>
      <c r="G5" s="8">
        <f t="shared" si="2"/>
        <v>0.27906976744186046</v>
      </c>
      <c r="H5" s="7">
        <f t="shared" si="3"/>
        <v>2.2325581395348837</v>
      </c>
      <c r="I5" s="11">
        <v>6</v>
      </c>
      <c r="N5" s="18">
        <v>26</v>
      </c>
      <c r="O5" s="6">
        <f t="shared" si="4"/>
        <v>0.32500000000000001</v>
      </c>
      <c r="P5" s="17">
        <f t="shared" si="5"/>
        <v>3.9000000000000004</v>
      </c>
      <c r="Q5" s="11">
        <v>10</v>
      </c>
      <c r="R5" s="8">
        <f t="shared" si="6"/>
        <v>0.23255813953488372</v>
      </c>
      <c r="S5" s="22">
        <f t="shared" si="7"/>
        <v>2.7906976744186047</v>
      </c>
      <c r="T5" s="11"/>
      <c r="U5" s="25"/>
      <c r="V5" s="26">
        <v>15</v>
      </c>
      <c r="W5" s="6">
        <f t="shared" si="8"/>
        <v>0.33333333333333331</v>
      </c>
      <c r="X5" s="17">
        <f t="shared" si="9"/>
        <v>4</v>
      </c>
      <c r="Y5" s="11">
        <v>11</v>
      </c>
      <c r="Z5" s="33"/>
      <c r="AA5" s="34">
        <v>8</v>
      </c>
      <c r="AB5" s="18">
        <v>15</v>
      </c>
      <c r="AC5" s="6">
        <f>AB5/SUM($AB$3:$AB$8)</f>
        <v>0.3</v>
      </c>
      <c r="AD5" s="16" t="e">
        <f>#N/A</f>
        <v>#N/A</v>
      </c>
      <c r="AE5" s="11">
        <v>26</v>
      </c>
      <c r="AF5" s="8">
        <f t="shared" si="10"/>
        <v>0.29545454545454547</v>
      </c>
      <c r="AG5" s="7">
        <f t="shared" si="11"/>
        <v>5.9090909090909092</v>
      </c>
      <c r="AH5" s="11">
        <v>15</v>
      </c>
      <c r="AI5" s="8">
        <f t="shared" si="12"/>
        <v>0.25</v>
      </c>
      <c r="AJ5" s="7">
        <f t="shared" si="13"/>
        <v>5</v>
      </c>
      <c r="AK5" s="25">
        <v>14</v>
      </c>
      <c r="AL5" s="38">
        <f t="shared" si="14"/>
        <v>0.30434782608695654</v>
      </c>
      <c r="AM5" s="23">
        <f t="shared" si="15"/>
        <v>6.0869565217391308</v>
      </c>
      <c r="AN5" s="25">
        <v>14</v>
      </c>
      <c r="AO5" s="39">
        <v>114</v>
      </c>
      <c r="AP5" s="40">
        <v>0.28643216080402012</v>
      </c>
      <c r="AQ5" s="41">
        <f t="shared" si="16"/>
        <v>4.5829145728643219</v>
      </c>
    </row>
    <row r="6" spans="1:43" ht="15">
      <c r="A6" s="9" t="s">
        <v>108</v>
      </c>
      <c r="B6" s="10">
        <v>14</v>
      </c>
      <c r="C6" s="6">
        <f t="shared" si="0"/>
        <v>0.27450980392156865</v>
      </c>
      <c r="D6" s="11">
        <v>7</v>
      </c>
      <c r="E6" s="6">
        <f t="shared" si="1"/>
        <v>0.21212121212121213</v>
      </c>
      <c r="F6" s="11">
        <v>20</v>
      </c>
      <c r="G6" s="8">
        <f t="shared" si="2"/>
        <v>0.23255813953488372</v>
      </c>
      <c r="H6" s="7">
        <f t="shared" si="3"/>
        <v>1.8604651162790697</v>
      </c>
      <c r="I6" s="11">
        <v>4</v>
      </c>
      <c r="N6" s="18">
        <v>16</v>
      </c>
      <c r="O6" s="6">
        <f t="shared" si="4"/>
        <v>0.2</v>
      </c>
      <c r="P6" s="17">
        <f t="shared" si="5"/>
        <v>2.4000000000000004</v>
      </c>
      <c r="Q6" s="11">
        <v>11</v>
      </c>
      <c r="R6" s="8">
        <f t="shared" si="6"/>
        <v>0.2558139534883721</v>
      </c>
      <c r="S6" s="22">
        <f t="shared" si="7"/>
        <v>3.0697674418604652</v>
      </c>
      <c r="T6" s="11"/>
      <c r="U6" s="25">
        <v>1</v>
      </c>
      <c r="V6" s="26">
        <v>7</v>
      </c>
      <c r="W6" s="6">
        <f t="shared" si="8"/>
        <v>0.15555555555555556</v>
      </c>
      <c r="X6" s="17">
        <f t="shared" si="9"/>
        <v>1.8666666666666667</v>
      </c>
      <c r="Y6" s="11">
        <v>10</v>
      </c>
      <c r="Z6" s="33"/>
      <c r="AA6" s="34">
        <v>7</v>
      </c>
      <c r="AB6" s="18">
        <v>17</v>
      </c>
      <c r="AC6" s="6">
        <f>AB6/SUM($AB$3:$AB$8)</f>
        <v>0.34</v>
      </c>
      <c r="AD6" s="16" t="e">
        <f>#N/A</f>
        <v>#N/A</v>
      </c>
      <c r="AE6" s="11">
        <v>18</v>
      </c>
      <c r="AF6" s="8">
        <f t="shared" si="10"/>
        <v>0.20454545454545456</v>
      </c>
      <c r="AG6" s="7">
        <f t="shared" si="11"/>
        <v>4.0909090909090908</v>
      </c>
      <c r="AH6" s="11">
        <v>17</v>
      </c>
      <c r="AI6" s="8">
        <f t="shared" si="12"/>
        <v>0.28333333333333333</v>
      </c>
      <c r="AJ6" s="7">
        <f t="shared" si="13"/>
        <v>5.6666666666666661</v>
      </c>
      <c r="AK6" s="25">
        <v>9</v>
      </c>
      <c r="AL6" s="38">
        <f t="shared" si="14"/>
        <v>0.19565217391304349</v>
      </c>
      <c r="AM6" s="23">
        <f t="shared" si="15"/>
        <v>3.9130434782608696</v>
      </c>
      <c r="AN6" s="25">
        <v>9</v>
      </c>
      <c r="AO6" s="39">
        <v>96</v>
      </c>
      <c r="AP6" s="40">
        <v>0.24120603015075376</v>
      </c>
      <c r="AQ6" s="41">
        <f t="shared" si="16"/>
        <v>3.8592964824120601</v>
      </c>
    </row>
    <row r="7" spans="1:43" ht="15">
      <c r="A7" s="9" t="s">
        <v>109</v>
      </c>
      <c r="B7" s="10">
        <v>12</v>
      </c>
      <c r="C7" s="6">
        <f t="shared" si="0"/>
        <v>0.23529411764705882</v>
      </c>
      <c r="D7" s="11">
        <v>7</v>
      </c>
      <c r="E7" s="6">
        <f t="shared" si="1"/>
        <v>0.21212121212121213</v>
      </c>
      <c r="F7" s="11">
        <v>13</v>
      </c>
      <c r="G7" s="8">
        <f t="shared" si="2"/>
        <v>0.15116279069767441</v>
      </c>
      <c r="H7" s="7">
        <f t="shared" si="3"/>
        <v>1.2093023255813953</v>
      </c>
      <c r="I7" s="11">
        <v>1</v>
      </c>
      <c r="N7" s="18">
        <v>12</v>
      </c>
      <c r="O7" s="6">
        <f t="shared" si="4"/>
        <v>0.15</v>
      </c>
      <c r="P7" s="17">
        <f t="shared" si="5"/>
        <v>1.7999999999999998</v>
      </c>
      <c r="Q7" s="11">
        <v>7</v>
      </c>
      <c r="R7" s="8">
        <f t="shared" si="6"/>
        <v>0.16279069767441862</v>
      </c>
      <c r="S7" s="22">
        <f t="shared" si="7"/>
        <v>1.9534883720930234</v>
      </c>
      <c r="T7" s="11"/>
      <c r="U7" s="25"/>
      <c r="V7" s="26">
        <v>9</v>
      </c>
      <c r="W7" s="6">
        <f t="shared" si="8"/>
        <v>0.2</v>
      </c>
      <c r="X7" s="17">
        <f t="shared" si="9"/>
        <v>2.4000000000000004</v>
      </c>
      <c r="Y7" s="11">
        <v>3</v>
      </c>
      <c r="Z7" s="33"/>
      <c r="AA7" s="34">
        <v>6</v>
      </c>
      <c r="AB7" s="18">
        <v>5</v>
      </c>
      <c r="AC7" s="6">
        <f>AB7/SUM($AB$3:$AB$8)</f>
        <v>0.1</v>
      </c>
      <c r="AD7" s="16" t="e">
        <f>#N/A</f>
        <v>#N/A</v>
      </c>
      <c r="AE7" s="11">
        <v>12</v>
      </c>
      <c r="AF7" s="8">
        <f t="shared" si="10"/>
        <v>0.13636363636363635</v>
      </c>
      <c r="AG7" s="7">
        <f t="shared" si="11"/>
        <v>2.7272727272727271</v>
      </c>
      <c r="AH7" s="11">
        <v>5</v>
      </c>
      <c r="AI7" s="8">
        <f t="shared" si="12"/>
        <v>8.3333333333333329E-2</v>
      </c>
      <c r="AJ7" s="7">
        <f t="shared" si="13"/>
        <v>1.6666666666666665</v>
      </c>
      <c r="AK7" s="25">
        <v>6</v>
      </c>
      <c r="AL7" s="38">
        <f t="shared" si="14"/>
        <v>0.13043478260869565</v>
      </c>
      <c r="AM7" s="23">
        <f t="shared" si="15"/>
        <v>2.6086956521739131</v>
      </c>
      <c r="AN7" s="25">
        <v>6</v>
      </c>
      <c r="AO7" s="39">
        <v>55</v>
      </c>
      <c r="AP7" s="40">
        <v>0.13819095477386933</v>
      </c>
      <c r="AQ7" s="41">
        <f t="shared" si="16"/>
        <v>2.2110552763819094</v>
      </c>
    </row>
    <row r="8" spans="1:43" ht="15">
      <c r="A8" s="12" t="s">
        <v>110</v>
      </c>
      <c r="B8" s="13">
        <v>4</v>
      </c>
      <c r="C8" s="6">
        <f t="shared" si="0"/>
        <v>7.8431372549019607E-2</v>
      </c>
      <c r="D8" s="14">
        <v>2</v>
      </c>
      <c r="E8" s="6">
        <f t="shared" si="1"/>
        <v>6.0606060606060608E-2</v>
      </c>
      <c r="F8" s="14">
        <v>5</v>
      </c>
      <c r="G8" s="8">
        <f t="shared" si="2"/>
        <v>5.8139534883720929E-2</v>
      </c>
      <c r="H8" s="7">
        <f t="shared" si="3"/>
        <v>0.46511627906976744</v>
      </c>
      <c r="I8" s="14">
        <v>2</v>
      </c>
      <c r="N8" s="19">
        <v>5</v>
      </c>
      <c r="O8" s="6">
        <f t="shared" si="4"/>
        <v>6.25E-2</v>
      </c>
      <c r="P8" s="17">
        <f t="shared" si="5"/>
        <v>0.75</v>
      </c>
      <c r="Q8" s="14">
        <v>3</v>
      </c>
      <c r="R8" s="8">
        <f t="shared" si="6"/>
        <v>6.9767441860465115E-2</v>
      </c>
      <c r="S8" s="22">
        <f t="shared" si="7"/>
        <v>0.83720930232558133</v>
      </c>
      <c r="T8" s="14"/>
      <c r="U8" s="27"/>
      <c r="V8" s="28">
        <v>2</v>
      </c>
      <c r="W8" s="6">
        <f t="shared" si="8"/>
        <v>4.4444444444444446E-2</v>
      </c>
      <c r="X8" s="17">
        <f t="shared" si="9"/>
        <v>0.53333333333333333</v>
      </c>
      <c r="Y8" s="14">
        <v>1</v>
      </c>
      <c r="Z8" s="35"/>
      <c r="AA8" s="36">
        <v>2</v>
      </c>
      <c r="AB8" s="19"/>
      <c r="AC8" s="19"/>
      <c r="AD8" s="19"/>
      <c r="AE8" s="14">
        <v>6</v>
      </c>
      <c r="AF8" s="8">
        <f t="shared" si="10"/>
        <v>6.8181818181818177E-2</v>
      </c>
      <c r="AG8" s="7">
        <f t="shared" si="11"/>
        <v>1.3636363636363635</v>
      </c>
      <c r="AH8" s="14">
        <v>5</v>
      </c>
      <c r="AI8" s="8">
        <f t="shared" si="12"/>
        <v>8.3333333333333329E-2</v>
      </c>
      <c r="AJ8" s="7">
        <f t="shared" si="13"/>
        <v>1.6666666666666665</v>
      </c>
      <c r="AK8" s="27">
        <v>2</v>
      </c>
      <c r="AL8" s="38">
        <f t="shared" si="14"/>
        <v>4.3478260869565216E-2</v>
      </c>
      <c r="AM8" s="23">
        <f t="shared" si="15"/>
        <v>0.86956521739130432</v>
      </c>
      <c r="AN8" s="27">
        <v>2</v>
      </c>
      <c r="AO8" s="39">
        <v>18</v>
      </c>
      <c r="AP8" s="40">
        <v>4.5226130653266333E-2</v>
      </c>
      <c r="AQ8" s="41">
        <f t="shared" si="16"/>
        <v>0.72361809045226133</v>
      </c>
    </row>
    <row r="9" spans="1:43">
      <c r="G9">
        <v>8</v>
      </c>
      <c r="O9">
        <v>12</v>
      </c>
      <c r="R9">
        <v>12</v>
      </c>
      <c r="W9">
        <v>12</v>
      </c>
      <c r="AC9">
        <v>12</v>
      </c>
      <c r="AF9">
        <v>20</v>
      </c>
      <c r="AI9">
        <v>20</v>
      </c>
      <c r="AL9">
        <v>20</v>
      </c>
      <c r="AP9">
        <v>16</v>
      </c>
    </row>
    <row r="14" spans="1:43">
      <c r="AD14" s="37"/>
    </row>
    <row r="15" spans="1:43">
      <c r="AD15" s="37"/>
    </row>
    <row r="16" spans="1:43">
      <c r="AD16" s="37"/>
    </row>
    <row r="17" spans="30:30">
      <c r="AD17" s="37"/>
    </row>
    <row r="18" spans="30:30">
      <c r="AD18" s="37"/>
    </row>
  </sheetData>
  <mergeCells count="4">
    <mergeCell ref="B1:M1"/>
    <mergeCell ref="N1:U1"/>
    <mergeCell ref="V1:Z1"/>
    <mergeCell ref="AB1:A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CONFIRMED PO</vt:lpstr>
      <vt:lpstr>packing list</vt:lpstr>
      <vt:lpstr>Sheet2</vt:lpstr>
      <vt:lpstr>'CONFIRMED PO'!Print_Area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maria.angelina</dc:creator>
  <cp:lastModifiedBy>Julius Evan</cp:lastModifiedBy>
  <cp:lastPrinted>2026-10-09T03:30:57Z</cp:lastPrinted>
  <dcterms:created xsi:type="dcterms:W3CDTF">2015-03-30T03:01:03Z</dcterms:created>
  <dcterms:modified xsi:type="dcterms:W3CDTF">2026-10-09T03:31:00Z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819B71914F0D41578C3EEB6596F3972F_13</vt:lpwstr>
  </property>
  <property fmtid="{D5CDD505-2E9C-101B-9397-08002B2CF9AE}" pid="3" name="KSOProductBuildVer">
    <vt:lpwstr>2057-12.2.0.20795</vt:lpwstr>
  </property>
  <property fmtid="{D5CDD505-2E9C-101B-9397-08002B2CF9AE}" pid="4" name="KSOReadingLayout">
    <vt:bool>true</vt:bool>
  </property>
</Properties>
</file>