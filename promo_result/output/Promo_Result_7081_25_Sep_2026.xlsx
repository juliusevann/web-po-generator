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</row>
    <row r="2">
      <c r="A2" t="n">
        <v>45633</v>
      </c>
      <c r="B2" t="n">
        <v>1</v>
      </c>
      <c r="C2" t="n">
        <v>1790000</v>
      </c>
      <c r="D2" t="inlineStr">
        <is>
          <t>Special Offer</t>
        </is>
      </c>
      <c r="E2" t="n">
        <v>200000</v>
      </c>
      <c r="F2" s="2" t="n">
        <v>46288</v>
      </c>
      <c r="G2" t="inlineStr">
        <is>
          <t>ASLA</t>
        </is>
      </c>
      <c r="H2" t="inlineStr">
        <is>
          <t>E560</t>
        </is>
      </c>
      <c r="I2" t="n">
        <v>0</v>
      </c>
      <c r="J2" t="n">
        <v>1432433</v>
      </c>
      <c r="K2" t="n">
        <v>1432433</v>
      </c>
      <c r="L2" t="n">
        <v>1590000</v>
      </c>
      <c r="M2" t="n">
        <v>1590000</v>
      </c>
      <c r="N2" t="inlineStr">
        <is>
          <t>FFO</t>
        </is>
      </c>
      <c r="O2" t="n">
        <v>45633</v>
      </c>
      <c r="P2" t="n">
        <v>1</v>
      </c>
      <c r="Q2" t="n">
        <v>1</v>
      </c>
      <c r="R2" t="inlineStr">
        <is>
          <t>006</t>
        </is>
      </c>
      <c r="S2" t="n">
        <v>1</v>
      </c>
      <c r="T2" t="n">
        <v>0</v>
      </c>
      <c r="U2" t="n">
        <v>0</v>
      </c>
      <c r="V2" t="inlineStr">
        <is>
          <t>E560</t>
        </is>
      </c>
      <c r="W2" t="n">
        <v>1790000</v>
      </c>
      <c r="X2" t="n">
        <v>1790000</v>
      </c>
      <c r="Y2" t="inlineStr">
        <is>
          <t>7081C</t>
        </is>
      </c>
      <c r="Z2" t="inlineStr">
        <is>
          <t>ASLA              00N002         X</t>
        </is>
      </c>
      <c r="AB2" t="inlineStr">
        <is>
          <t>E560</t>
        </is>
      </c>
      <c r="AC2" t="inlineStr">
        <is>
          <t>E560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SHS</t>
        </is>
      </c>
      <c r="AH2" t="inlineStr">
        <is>
          <t>EVERBEST LADIES SHOES MAROON 35</t>
        </is>
      </c>
      <c r="AI2" t="inlineStr">
        <is>
          <t>17068</t>
        </is>
      </c>
      <c r="AJ2" t="inlineStr">
        <is>
          <t>BAZAAR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HU</t>
        </is>
      </c>
      <c r="AP2" t="inlineStr"/>
      <c r="AR2" t="inlineStr"/>
      <c r="AS2" t="inlineStr">
        <is>
          <t>996902073947</t>
        </is>
      </c>
      <c r="AT2" t="inlineStr">
        <is>
          <t>00N</t>
        </is>
      </c>
      <c r="AU2" t="inlineStr">
        <is>
          <t>002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</row>
    <row r="3">
      <c r="A3" t="n">
        <v>59967</v>
      </c>
      <c r="B3" t="n">
        <v>1</v>
      </c>
      <c r="C3" t="n">
        <v>1890000</v>
      </c>
      <c r="D3" t="inlineStr">
        <is>
          <t>Special Offer</t>
        </is>
      </c>
      <c r="E3" t="n">
        <v>200000</v>
      </c>
      <c r="F3" s="2" t="n">
        <v>46288</v>
      </c>
      <c r="G3" t="inlineStr">
        <is>
          <t>NAUREN</t>
        </is>
      </c>
      <c r="H3" t="inlineStr">
        <is>
          <t>E520</t>
        </is>
      </c>
      <c r="I3" t="n">
        <v>0</v>
      </c>
      <c r="J3" t="n">
        <v>1522523</v>
      </c>
      <c r="K3" t="n">
        <v>1522523</v>
      </c>
      <c r="L3" t="n">
        <v>1690000</v>
      </c>
      <c r="M3" t="n">
        <v>1690000</v>
      </c>
      <c r="N3" t="inlineStr">
        <is>
          <t>FFO</t>
        </is>
      </c>
      <c r="O3" t="n">
        <v>59967</v>
      </c>
      <c r="P3" t="n">
        <v>1</v>
      </c>
      <c r="Q3" t="n">
        <v>1</v>
      </c>
      <c r="R3" t="inlineStr">
        <is>
          <t>006</t>
        </is>
      </c>
      <c r="S3" t="n">
        <v>1</v>
      </c>
      <c r="T3" t="n">
        <v>0</v>
      </c>
      <c r="U3" t="n">
        <v>0</v>
      </c>
      <c r="V3" t="inlineStr">
        <is>
          <t>E520</t>
        </is>
      </c>
      <c r="W3" t="n">
        <v>1890000</v>
      </c>
      <c r="X3" t="n">
        <v>1890000</v>
      </c>
      <c r="Y3" t="inlineStr">
        <is>
          <t>7081A</t>
        </is>
      </c>
      <c r="Z3" t="inlineStr">
        <is>
          <t>NAUREN            002005         X</t>
        </is>
      </c>
      <c r="AB3" t="inlineStr">
        <is>
          <t>E520</t>
        </is>
      </c>
      <c r="AC3" t="inlineStr">
        <is>
          <t>E520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BEIGE 36</t>
        </is>
      </c>
      <c r="AI3" t="inlineStr">
        <is>
          <t>17327</t>
        </is>
      </c>
      <c r="AJ3" t="inlineStr">
        <is>
          <t>BAZAAR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HU</t>
        </is>
      </c>
      <c r="AP3" t="inlineStr"/>
      <c r="AR3" t="inlineStr"/>
      <c r="AS3" t="inlineStr">
        <is>
          <t>996902073493</t>
        </is>
      </c>
      <c r="AT3" t="inlineStr">
        <is>
          <t>002</t>
        </is>
      </c>
      <c r="AU3" t="inlineStr">
        <is>
          <t>005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</row>
    <row r="4">
      <c r="A4" t="n">
        <v>59943</v>
      </c>
      <c r="B4" t="n">
        <v>1</v>
      </c>
      <c r="C4" t="n">
        <v>1790000</v>
      </c>
      <c r="D4" t="inlineStr">
        <is>
          <t>Special Offer</t>
        </is>
      </c>
      <c r="E4" t="n">
        <v>200000</v>
      </c>
      <c r="F4" s="2" t="n">
        <v>46287</v>
      </c>
      <c r="G4" t="inlineStr">
        <is>
          <t>NOLIVE</t>
        </is>
      </c>
      <c r="H4" t="inlineStr">
        <is>
          <t>E520</t>
        </is>
      </c>
      <c r="I4" t="n">
        <v>0</v>
      </c>
      <c r="J4" t="n">
        <v>1432433</v>
      </c>
      <c r="K4" t="n">
        <v>1432433</v>
      </c>
      <c r="L4" t="n">
        <v>1590000</v>
      </c>
      <c r="M4" t="n">
        <v>1590000</v>
      </c>
      <c r="N4" t="inlineStr">
        <is>
          <t>FFO</t>
        </is>
      </c>
      <c r="O4" t="n">
        <v>59943</v>
      </c>
      <c r="P4" t="n">
        <v>2</v>
      </c>
      <c r="Q4" t="n">
        <v>2</v>
      </c>
      <c r="R4" t="inlineStr">
        <is>
          <t>006</t>
        </is>
      </c>
      <c r="S4" t="n">
        <v>1</v>
      </c>
      <c r="T4" t="n">
        <v>0</v>
      </c>
      <c r="U4" t="n">
        <v>0</v>
      </c>
      <c r="V4" t="inlineStr">
        <is>
          <t>E520</t>
        </is>
      </c>
      <c r="W4" t="n">
        <v>1790000</v>
      </c>
      <c r="X4" t="n">
        <v>1790000</v>
      </c>
      <c r="Y4" t="inlineStr">
        <is>
          <t>7081A</t>
        </is>
      </c>
      <c r="Z4" t="inlineStr">
        <is>
          <t>NOLIVE            003001         X</t>
        </is>
      </c>
      <c r="AB4" t="inlineStr">
        <is>
          <t>E520</t>
        </is>
      </c>
      <c r="AC4" t="inlineStr">
        <is>
          <t>E520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SHS</t>
        </is>
      </c>
      <c r="AH4" t="inlineStr">
        <is>
          <t>EVERBEST LADIES SHOES BLACK 37</t>
        </is>
      </c>
      <c r="AI4" t="inlineStr">
        <is>
          <t>15847</t>
        </is>
      </c>
      <c r="AJ4" t="inlineStr">
        <is>
          <t>BAZAAR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KH</t>
        </is>
      </c>
      <c r="AP4" t="inlineStr"/>
      <c r="AR4" t="inlineStr"/>
      <c r="AS4" t="inlineStr">
        <is>
          <t>996902073410</t>
        </is>
      </c>
      <c r="AT4" t="inlineStr">
        <is>
          <t>003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</row>
    <row r="5">
      <c r="A5" t="n">
        <v>59922</v>
      </c>
      <c r="B5" t="n">
        <v>1</v>
      </c>
      <c r="C5" t="n">
        <v>1790000</v>
      </c>
      <c r="D5" t="inlineStr">
        <is>
          <t>Special Offer</t>
        </is>
      </c>
      <c r="E5" t="n">
        <v>200000</v>
      </c>
      <c r="F5" s="2" t="n">
        <v>46285</v>
      </c>
      <c r="G5" t="inlineStr">
        <is>
          <t>GERINA</t>
        </is>
      </c>
      <c r="H5" t="inlineStr">
        <is>
          <t>E520</t>
        </is>
      </c>
      <c r="I5" t="n">
        <v>0</v>
      </c>
      <c r="J5" t="n">
        <v>1432433</v>
      </c>
      <c r="K5" t="n">
        <v>1432433</v>
      </c>
      <c r="L5" t="n">
        <v>1590000</v>
      </c>
      <c r="M5" t="n">
        <v>1590000</v>
      </c>
      <c r="N5" t="inlineStr">
        <is>
          <t>FFO</t>
        </is>
      </c>
      <c r="O5" t="n">
        <v>59922</v>
      </c>
      <c r="P5" t="n">
        <v>1</v>
      </c>
      <c r="Q5" t="n">
        <v>7</v>
      </c>
      <c r="R5" t="inlineStr">
        <is>
          <t>006</t>
        </is>
      </c>
      <c r="S5" t="n">
        <v>1</v>
      </c>
      <c r="T5" t="n">
        <v>0</v>
      </c>
      <c r="U5" t="n">
        <v>0</v>
      </c>
      <c r="V5" t="inlineStr">
        <is>
          <t>E520</t>
        </is>
      </c>
      <c r="W5" t="n">
        <v>1790000</v>
      </c>
      <c r="X5" t="n">
        <v>1790000</v>
      </c>
      <c r="Y5" t="inlineStr">
        <is>
          <t>7081A</t>
        </is>
      </c>
      <c r="Z5" t="inlineStr">
        <is>
          <t>GERINA            003001         X</t>
        </is>
      </c>
      <c r="AB5" t="inlineStr">
        <is>
          <t>E520</t>
        </is>
      </c>
      <c r="AC5" t="inlineStr">
        <is>
          <t>E520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BAG</t>
        </is>
      </c>
      <c r="AH5" t="inlineStr">
        <is>
          <t>EVERBEST LADIES BAGS BLACK FREE SIZE</t>
        </is>
      </c>
      <c r="AI5" t="inlineStr">
        <is>
          <t>17327</t>
        </is>
      </c>
      <c r="AJ5" t="inlineStr">
        <is>
          <t>BAZAAR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HBYY</t>
        </is>
      </c>
      <c r="AP5" t="inlineStr"/>
      <c r="AQ5" t="inlineStr"/>
      <c r="AR5" t="inlineStr"/>
      <c r="AS5" t="inlineStr">
        <is>
          <t>996902082099</t>
        </is>
      </c>
      <c r="AT5" t="inlineStr">
        <is>
          <t>003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</row>
    <row r="6">
      <c r="A6" t="n">
        <v>59889</v>
      </c>
      <c r="B6" t="n">
        <v>1</v>
      </c>
      <c r="C6" t="n">
        <v>2090000</v>
      </c>
      <c r="D6" t="inlineStr">
        <is>
          <t>Special Offer</t>
        </is>
      </c>
      <c r="E6" t="n">
        <v>200000</v>
      </c>
      <c r="F6" s="2" t="n">
        <v>46284</v>
      </c>
      <c r="G6" t="inlineStr">
        <is>
          <t>GUVI</t>
        </is>
      </c>
      <c r="H6" t="inlineStr">
        <is>
          <t>E520</t>
        </is>
      </c>
      <c r="I6" t="n">
        <v>0</v>
      </c>
      <c r="J6" t="n">
        <v>1702703</v>
      </c>
      <c r="K6" t="n">
        <v>1702703</v>
      </c>
      <c r="L6" t="n">
        <v>1890000</v>
      </c>
      <c r="M6" t="n">
        <v>1890000</v>
      </c>
      <c r="N6" t="inlineStr">
        <is>
          <t>FFO</t>
        </is>
      </c>
      <c r="O6" t="n">
        <v>59889</v>
      </c>
      <c r="P6" t="n">
        <v>1</v>
      </c>
      <c r="Q6" t="n">
        <v>1</v>
      </c>
      <c r="R6" t="inlineStr">
        <is>
          <t>006</t>
        </is>
      </c>
      <c r="S6" t="n">
        <v>1</v>
      </c>
      <c r="T6" t="n">
        <v>0</v>
      </c>
      <c r="U6" t="n">
        <v>0</v>
      </c>
      <c r="V6" t="inlineStr">
        <is>
          <t>E520</t>
        </is>
      </c>
      <c r="W6" t="n">
        <v>2090000</v>
      </c>
      <c r="X6" t="n">
        <v>2090000</v>
      </c>
      <c r="Y6" t="inlineStr">
        <is>
          <t>7081A</t>
        </is>
      </c>
      <c r="Z6" t="inlineStr">
        <is>
          <t>GUVI              003001         X</t>
        </is>
      </c>
      <c r="AB6" t="inlineStr">
        <is>
          <t>E520</t>
        </is>
      </c>
      <c r="AC6" t="inlineStr">
        <is>
          <t>E520</t>
        </is>
      </c>
      <c r="AD6" t="inlineStr">
        <is>
          <t xml:space="preserve">EB </t>
        </is>
      </c>
      <c r="AE6" t="inlineStr">
        <is>
          <t>MEN</t>
        </is>
      </c>
      <c r="AF6" t="inlineStr">
        <is>
          <t>BAG</t>
        </is>
      </c>
      <c r="AH6" t="inlineStr">
        <is>
          <t>EVERBEST MEN BAGS BLACK FREE SIZE</t>
        </is>
      </c>
      <c r="AI6" t="inlineStr">
        <is>
          <t>17327</t>
        </is>
      </c>
      <c r="AJ6" t="inlineStr">
        <is>
          <t>BAZAAR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EVG</t>
        </is>
      </c>
      <c r="AP6" t="inlineStr"/>
      <c r="AQ6" t="inlineStr"/>
      <c r="AR6" t="inlineStr"/>
      <c r="AS6" t="inlineStr">
        <is>
          <t>996902082182</t>
        </is>
      </c>
      <c r="AT6" t="inlineStr">
        <is>
          <t>003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</row>
    <row r="7">
      <c r="A7" t="n">
        <v>59866</v>
      </c>
      <c r="B7" t="n">
        <v>1</v>
      </c>
      <c r="C7" t="n">
        <v>1690000</v>
      </c>
      <c r="D7" t="inlineStr">
        <is>
          <t>Special Offer</t>
        </is>
      </c>
      <c r="E7" t="n">
        <v>200000</v>
      </c>
      <c r="F7" s="2" t="n">
        <v>46283</v>
      </c>
      <c r="G7" t="inlineStr">
        <is>
          <t>JASIC</t>
        </is>
      </c>
      <c r="H7" t="inlineStr">
        <is>
          <t>E520</t>
        </is>
      </c>
      <c r="I7" t="n">
        <v>0</v>
      </c>
      <c r="J7" t="n">
        <v>1342343</v>
      </c>
      <c r="K7" t="n">
        <v>1342343</v>
      </c>
      <c r="L7" t="n">
        <v>1490000</v>
      </c>
      <c r="M7" t="n">
        <v>1490000</v>
      </c>
      <c r="N7" t="inlineStr">
        <is>
          <t>FFO</t>
        </is>
      </c>
      <c r="O7" t="n">
        <v>59866</v>
      </c>
      <c r="P7" t="n">
        <v>1</v>
      </c>
      <c r="Q7" t="n">
        <v>1</v>
      </c>
      <c r="R7" t="inlineStr">
        <is>
          <t>006</t>
        </is>
      </c>
      <c r="S7" t="n">
        <v>1</v>
      </c>
      <c r="T7" t="n">
        <v>0</v>
      </c>
      <c r="U7" t="n">
        <v>0</v>
      </c>
      <c r="V7" t="inlineStr">
        <is>
          <t>E520</t>
        </is>
      </c>
      <c r="W7" t="n">
        <v>1690000</v>
      </c>
      <c r="X7" t="n">
        <v>1690000</v>
      </c>
      <c r="Y7" t="inlineStr">
        <is>
          <t>7081A</t>
        </is>
      </c>
      <c r="Z7" t="inlineStr">
        <is>
          <t>JASIC             003005         X</t>
        </is>
      </c>
      <c r="AB7" t="inlineStr">
        <is>
          <t>E520</t>
        </is>
      </c>
      <c r="AC7" t="inlineStr">
        <is>
          <t>E520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SHS</t>
        </is>
      </c>
      <c r="AH7" t="inlineStr">
        <is>
          <t>EVERBEST LADIES SHOES BLACK 36</t>
        </is>
      </c>
      <c r="AI7" t="inlineStr">
        <is>
          <t>17327</t>
        </is>
      </c>
      <c r="AJ7" t="inlineStr">
        <is>
          <t>BAZAAR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KH</t>
        </is>
      </c>
      <c r="AP7" t="inlineStr"/>
      <c r="AQ7" t="inlineStr"/>
      <c r="AR7" t="inlineStr"/>
      <c r="AS7" t="inlineStr">
        <is>
          <t>996902069463</t>
        </is>
      </c>
      <c r="AT7" t="inlineStr">
        <is>
          <t>003</t>
        </is>
      </c>
      <c r="AU7" t="inlineStr">
        <is>
          <t>005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</row>
    <row r="8">
      <c r="A8" t="n">
        <v>59831</v>
      </c>
      <c r="B8" t="n">
        <v>1</v>
      </c>
      <c r="C8" t="n">
        <v>1890000</v>
      </c>
      <c r="D8" t="inlineStr">
        <is>
          <t>Special Offer</t>
        </is>
      </c>
      <c r="E8" t="n">
        <v>200000</v>
      </c>
      <c r="F8" s="2" t="n">
        <v>46281</v>
      </c>
      <c r="G8" t="inlineStr">
        <is>
          <t>INTALIA</t>
        </is>
      </c>
      <c r="H8" t="inlineStr">
        <is>
          <t>E520</t>
        </is>
      </c>
      <c r="I8" t="n">
        <v>0</v>
      </c>
      <c r="J8" t="n">
        <v>1522523</v>
      </c>
      <c r="K8" t="n">
        <v>1522523</v>
      </c>
      <c r="L8" t="n">
        <v>1690000</v>
      </c>
      <c r="M8" t="n">
        <v>1690000</v>
      </c>
      <c r="N8" t="inlineStr">
        <is>
          <t>FFO</t>
        </is>
      </c>
      <c r="O8" t="n">
        <v>59831</v>
      </c>
      <c r="P8" t="n">
        <v>2</v>
      </c>
      <c r="Q8" t="n">
        <v>10</v>
      </c>
      <c r="R8" t="inlineStr">
        <is>
          <t>006</t>
        </is>
      </c>
      <c r="S8" t="n">
        <v>1</v>
      </c>
      <c r="T8" t="n">
        <v>0</v>
      </c>
      <c r="U8" t="n">
        <v>0</v>
      </c>
      <c r="V8" t="inlineStr">
        <is>
          <t>E520</t>
        </is>
      </c>
      <c r="W8" t="n">
        <v>1890000</v>
      </c>
      <c r="X8" t="n">
        <v>1890000</v>
      </c>
      <c r="Y8" t="inlineStr">
        <is>
          <t>7081A</t>
        </is>
      </c>
      <c r="Z8" t="inlineStr">
        <is>
          <t>INTALIA           003005         X</t>
        </is>
      </c>
      <c r="AB8" t="inlineStr">
        <is>
          <t>E520</t>
        </is>
      </c>
      <c r="AC8" t="inlineStr">
        <is>
          <t>E520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SHS</t>
        </is>
      </c>
      <c r="AH8" t="inlineStr">
        <is>
          <t>EVERBEST LADIES SHOES BLACK 36</t>
        </is>
      </c>
      <c r="AI8" t="inlineStr">
        <is>
          <t>17327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KH</t>
        </is>
      </c>
      <c r="AP8" t="inlineStr"/>
      <c r="AR8" t="inlineStr"/>
      <c r="AS8" t="inlineStr">
        <is>
          <t>996902071508</t>
        </is>
      </c>
      <c r="AT8" t="inlineStr">
        <is>
          <t>003</t>
        </is>
      </c>
      <c r="AU8" t="inlineStr">
        <is>
          <t>005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</row>
    <row r="9">
      <c r="A9" t="n">
        <v>59818</v>
      </c>
      <c r="B9" t="n">
        <v>1</v>
      </c>
      <c r="C9" t="n">
        <v>1690000</v>
      </c>
      <c r="D9" t="inlineStr">
        <is>
          <t>Special Offer</t>
        </is>
      </c>
      <c r="E9" t="n">
        <v>200000</v>
      </c>
      <c r="F9" s="2" t="n">
        <v>46280</v>
      </c>
      <c r="G9" t="inlineStr">
        <is>
          <t>JASIC</t>
        </is>
      </c>
      <c r="H9" t="inlineStr">
        <is>
          <t>E520</t>
        </is>
      </c>
      <c r="I9" t="n">
        <v>0</v>
      </c>
      <c r="J9" t="n">
        <v>1342343</v>
      </c>
      <c r="K9" t="n">
        <v>1342343</v>
      </c>
      <c r="L9" t="n">
        <v>1490000</v>
      </c>
      <c r="M9" t="n">
        <v>1490000</v>
      </c>
      <c r="N9" t="inlineStr">
        <is>
          <t>FFO</t>
        </is>
      </c>
      <c r="O9" t="n">
        <v>59818</v>
      </c>
      <c r="P9" t="n">
        <v>1</v>
      </c>
      <c r="Q9" t="n">
        <v>1</v>
      </c>
      <c r="R9" t="inlineStr">
        <is>
          <t>006</t>
        </is>
      </c>
      <c r="S9" t="n">
        <v>1</v>
      </c>
      <c r="T9" t="n">
        <v>0</v>
      </c>
      <c r="U9" t="n">
        <v>0</v>
      </c>
      <c r="V9" t="inlineStr">
        <is>
          <t>E520</t>
        </is>
      </c>
      <c r="W9" t="n">
        <v>1690000</v>
      </c>
      <c r="X9" t="n">
        <v>1690000</v>
      </c>
      <c r="Y9" t="inlineStr">
        <is>
          <t>7081A</t>
        </is>
      </c>
      <c r="Z9" t="inlineStr">
        <is>
          <t>JASIC             00300S         X</t>
        </is>
      </c>
      <c r="AB9" t="inlineStr">
        <is>
          <t>E520</t>
        </is>
      </c>
      <c r="AC9" t="inlineStr">
        <is>
          <t>E520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SHS</t>
        </is>
      </c>
      <c r="AH9" t="inlineStr">
        <is>
          <t>EVERBEST LADIES SHOES BLACK 41</t>
        </is>
      </c>
      <c r="AI9" t="inlineStr">
        <is>
          <t>16468</t>
        </is>
      </c>
      <c r="AJ9" t="inlineStr">
        <is>
          <t>M0N6X8380144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KH</t>
        </is>
      </c>
      <c r="AP9" t="inlineStr"/>
      <c r="AQ9" t="inlineStr"/>
      <c r="AR9" t="inlineStr"/>
      <c r="AS9" t="inlineStr">
        <is>
          <t>996902069468</t>
        </is>
      </c>
      <c r="AT9" t="inlineStr">
        <is>
          <t>003</t>
        </is>
      </c>
      <c r="AU9" t="inlineStr">
        <is>
          <t>00S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</row>
    <row r="10">
      <c r="A10" t="n">
        <v>59803</v>
      </c>
      <c r="B10" t="n">
        <v>1</v>
      </c>
      <c r="C10" t="n">
        <v>1790000</v>
      </c>
      <c r="D10" t="inlineStr">
        <is>
          <t>Special Offer</t>
        </is>
      </c>
      <c r="E10" t="n">
        <v>200000</v>
      </c>
      <c r="F10" s="2" t="n">
        <v>46279</v>
      </c>
      <c r="G10" t="inlineStr">
        <is>
          <t>CANERY</t>
        </is>
      </c>
      <c r="H10" t="inlineStr">
        <is>
          <t>E520</t>
        </is>
      </c>
      <c r="I10" t="n">
        <v>0</v>
      </c>
      <c r="J10" t="n">
        <v>1432433</v>
      </c>
      <c r="K10" t="n">
        <v>1432433</v>
      </c>
      <c r="L10" t="n">
        <v>1590000</v>
      </c>
      <c r="M10" t="n">
        <v>1590000</v>
      </c>
      <c r="N10" t="inlineStr">
        <is>
          <t>FFO</t>
        </is>
      </c>
      <c r="O10" t="n">
        <v>59803</v>
      </c>
      <c r="P10" t="n">
        <v>2</v>
      </c>
      <c r="Q10" t="n">
        <v>9</v>
      </c>
      <c r="R10" t="inlineStr">
        <is>
          <t>006</t>
        </is>
      </c>
      <c r="S10" t="n">
        <v>1</v>
      </c>
      <c r="T10" t="n">
        <v>0</v>
      </c>
      <c r="U10" t="n">
        <v>0</v>
      </c>
      <c r="V10" t="inlineStr">
        <is>
          <t>E520</t>
        </is>
      </c>
      <c r="W10" t="n">
        <v>1790000</v>
      </c>
      <c r="X10" t="n">
        <v>1790000</v>
      </c>
      <c r="Y10" t="inlineStr">
        <is>
          <t>7081A</t>
        </is>
      </c>
      <c r="Z10" t="inlineStr">
        <is>
          <t>CANERY            003007         X</t>
        </is>
      </c>
      <c r="AB10" t="inlineStr">
        <is>
          <t>E520</t>
        </is>
      </c>
      <c r="AC10" t="inlineStr">
        <is>
          <t>E520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SHS</t>
        </is>
      </c>
      <c r="AH10" t="inlineStr">
        <is>
          <t>EVERBEST LADIES SHOES BLACK 40</t>
        </is>
      </c>
      <c r="AI10" t="inlineStr">
        <is>
          <t>16736</t>
        </is>
      </c>
      <c r="AJ10" t="inlineStr">
        <is>
          <t>QS8FAF966816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HU</t>
        </is>
      </c>
      <c r="AP10" t="inlineStr"/>
      <c r="AQ10" t="inlineStr"/>
      <c r="AR10" t="inlineStr"/>
      <c r="AS10" t="inlineStr">
        <is>
          <t>996902062981</t>
        </is>
      </c>
      <c r="AT10" t="inlineStr">
        <is>
          <t>003</t>
        </is>
      </c>
      <c r="AU10" t="inlineStr">
        <is>
          <t>007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</row>
    <row r="11">
      <c r="A11" t="n">
        <v>59807</v>
      </c>
      <c r="B11" t="n">
        <v>1</v>
      </c>
      <c r="C11" t="n">
        <v>1890000</v>
      </c>
      <c r="D11" t="inlineStr">
        <is>
          <t>Special Offer</t>
        </is>
      </c>
      <c r="E11" t="n">
        <v>200000</v>
      </c>
      <c r="F11" s="2" t="n">
        <v>46279</v>
      </c>
      <c r="G11" t="inlineStr">
        <is>
          <t>NARCIE</t>
        </is>
      </c>
      <c r="H11" t="inlineStr">
        <is>
          <t>E520</t>
        </is>
      </c>
      <c r="I11" t="n">
        <v>0</v>
      </c>
      <c r="J11" t="n">
        <v>1522523</v>
      </c>
      <c r="K11" t="n">
        <v>1522523</v>
      </c>
      <c r="L11" t="n">
        <v>1690000</v>
      </c>
      <c r="M11" t="n">
        <v>1690000</v>
      </c>
      <c r="N11" t="inlineStr">
        <is>
          <t>FFO</t>
        </is>
      </c>
      <c r="O11" t="n">
        <v>59807</v>
      </c>
      <c r="P11" t="n">
        <v>1</v>
      </c>
      <c r="Q11" t="n">
        <v>1</v>
      </c>
      <c r="R11" t="inlineStr">
        <is>
          <t>006</t>
        </is>
      </c>
      <c r="S11" t="n">
        <v>1</v>
      </c>
      <c r="T11" t="n">
        <v>0</v>
      </c>
      <c r="U11" t="n">
        <v>0</v>
      </c>
      <c r="V11" t="inlineStr">
        <is>
          <t>E520</t>
        </is>
      </c>
      <c r="W11" t="n">
        <v>1890000</v>
      </c>
      <c r="X11" t="n">
        <v>1890000</v>
      </c>
      <c r="Y11" t="inlineStr">
        <is>
          <t>7081A</t>
        </is>
      </c>
      <c r="Z11" t="inlineStr">
        <is>
          <t>NARCIE            00N003         X</t>
        </is>
      </c>
      <c r="AB11" t="inlineStr">
        <is>
          <t>E520</t>
        </is>
      </c>
      <c r="AC11" t="inlineStr">
        <is>
          <t>E520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SHS</t>
        </is>
      </c>
      <c r="AH11" t="inlineStr">
        <is>
          <t>EVERBEST LADIES SHOES MAROON 38</t>
        </is>
      </c>
      <c r="AI11" t="inlineStr">
        <is>
          <t>16468</t>
        </is>
      </c>
      <c r="AJ11" t="inlineStr">
        <is>
          <t>E520200000162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HU</t>
        </is>
      </c>
      <c r="AP11" t="inlineStr"/>
      <c r="AR11" t="inlineStr"/>
      <c r="AS11" t="inlineStr">
        <is>
          <t>996902081918</t>
        </is>
      </c>
      <c r="AT11" t="inlineStr">
        <is>
          <t>00N</t>
        </is>
      </c>
      <c r="AU11" t="inlineStr">
        <is>
          <t>003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Disc Description (sheet RAW). Total &amp; LW Sales: penjualan brand per toko selama periode promo &amp; periode LW (query sales toko).</t>
        </is>
      </c>
    </row>
    <row r="4">
      <c r="A4" s="5" t="inlineStr">
        <is>
          <t>Store Code</t>
        </is>
      </c>
      <c r="B4" s="5" t="inlineStr">
        <is>
          <t>Special Offer</t>
        </is>
      </c>
      <c r="C4" s="6" t="n"/>
      <c r="D4" s="7" t="inlineStr">
        <is>
          <t>Total (14-23 Sep'26)</t>
        </is>
      </c>
      <c r="E4" s="6" t="n"/>
      <c r="F4" s="7" t="inlineStr">
        <is>
          <t>Stock 7 Sep 2026</t>
        </is>
      </c>
      <c r="G4" s="7" t="inlineStr">
        <is>
          <t>Sellthru</t>
        </is>
      </c>
      <c r="H4" s="7" t="inlineStr">
        <is>
          <t>Cont%</t>
        </is>
      </c>
      <c r="I4" s="7" t="inlineStr">
        <is>
          <t>LW Sales (24 Agu - 2 Sep'26)</t>
        </is>
      </c>
      <c r="J4" s="6" t="n"/>
      <c r="K4" s="7" t="inlineStr">
        <is>
          <t>Growth%</t>
        </is>
      </c>
    </row>
    <row r="5">
      <c r="B5" s="8" t="inlineStr">
        <is>
          <t>Qty</t>
        </is>
      </c>
      <c r="C5" s="8" t="inlineStr">
        <is>
          <t>Amount</t>
        </is>
      </c>
      <c r="D5" s="8" t="inlineStr">
        <is>
          <t>Qty</t>
        </is>
      </c>
      <c r="E5" s="8" t="inlineStr">
        <is>
          <t>Amount</t>
        </is>
      </c>
      <c r="F5" s="6" t="n"/>
      <c r="G5" s="6" t="n"/>
      <c r="H5" s="6" t="n"/>
      <c r="I5" s="8" t="inlineStr">
        <is>
          <t>Qty</t>
        </is>
      </c>
      <c r="J5" s="8" t="inlineStr">
        <is>
          <t>Amount</t>
        </is>
      </c>
      <c r="K5" s="6" t="n"/>
    </row>
    <row r="6">
      <c r="A6" s="9" t="inlineStr">
        <is>
          <t>E520</t>
        </is>
      </c>
      <c r="B6" s="10">
        <f>SUMIFS(RAW!$B$2:$B$11,RAW!$H$2:$H$11,$A6,RAW!$D$2:$D$11,B$4)</f>
        <v/>
      </c>
      <c r="C6" s="10">
        <f>SUMIFS(RAW!$E$2:$E$11,RAW!$H$2:$H$11,$A6,RAW!$D$2:$D$11,B$4)</f>
        <v/>
      </c>
      <c r="D6" s="11" t="n">
        <v>226</v>
      </c>
      <c r="E6" s="11" t="n">
        <v>279439500</v>
      </c>
      <c r="F6" s="12" t="n"/>
      <c r="G6" s="13">
        <f>D6/F6</f>
        <v/>
      </c>
      <c r="H6" s="13">
        <f>D6/$D$8</f>
        <v/>
      </c>
      <c r="I6" s="10" t="n">
        <v>95</v>
      </c>
      <c r="J6" s="10" t="n">
        <v>171604500</v>
      </c>
      <c r="K6" s="13">
        <f>E6/J6-1</f>
        <v/>
      </c>
    </row>
    <row r="7">
      <c r="A7" s="9" t="inlineStr">
        <is>
          <t>E560</t>
        </is>
      </c>
      <c r="B7" s="10">
        <f>SUMIFS(RAW!$B$2:$B$11,RAW!$H$2:$H$11,$A7,RAW!$D$2:$D$11,B$4)</f>
        <v/>
      </c>
      <c r="C7" s="10">
        <f>SUMIFS(RAW!$E$2:$E$11,RAW!$H$2:$H$11,$A7,RAW!$D$2:$D$11,B$4)</f>
        <v/>
      </c>
      <c r="D7" s="11" t="n">
        <v>105</v>
      </c>
      <c r="E7" s="11" t="n">
        <v>200640000</v>
      </c>
      <c r="F7" s="12" t="n"/>
      <c r="G7" s="13">
        <f>D7/F7</f>
        <v/>
      </c>
      <c r="H7" s="13">
        <f>D7/$D$8</f>
        <v/>
      </c>
      <c r="I7" s="10" t="n">
        <v>71</v>
      </c>
      <c r="J7" s="10" t="n">
        <v>145108000</v>
      </c>
      <c r="K7" s="13">
        <f>E7/J7-1</f>
        <v/>
      </c>
    </row>
    <row r="8">
      <c r="A8" s="14" t="inlineStr">
        <is>
          <t>GRAND TOTAL</t>
        </is>
      </c>
      <c r="B8" s="15">
        <f>SUM(B6:B7)</f>
        <v/>
      </c>
      <c r="C8" s="15">
        <f>SUM(C6:C7)</f>
        <v/>
      </c>
      <c r="D8" s="15">
        <f>SUM(D6:D7)</f>
        <v/>
      </c>
      <c r="E8" s="15">
        <f>SUM(E6:E7)</f>
        <v/>
      </c>
      <c r="F8" s="15">
        <f>SUM(F6:F7)</f>
        <v/>
      </c>
      <c r="G8" s="16">
        <f>D8/F8</f>
        <v/>
      </c>
      <c r="H8" s="16">
        <f>1</f>
        <v/>
      </c>
      <c r="I8" s="15">
        <f>SUM(I6:I7)</f>
        <v/>
      </c>
      <c r="J8" s="15">
        <f>SUM(J6:J7)</f>
        <v/>
      </c>
      <c r="K8" s="16">
        <f>E8/J8-1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2026-09-25T04:20:46Z</dcterms:created>
  <dcterms:modified xmlns:dcterms="http://purl.org/dc/terms/" xmlns:xsi="http://www.w3.org/2001/XMLSchema-instance" xsi:type="dcterms:W3CDTF">2026-09-25T04:20:46Z</dcterms:modified>
</cp:coreProperties>
</file>