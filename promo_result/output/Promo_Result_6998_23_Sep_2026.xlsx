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5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</row>
    <row r="2">
      <c r="A2" t="n">
        <v>28839</v>
      </c>
      <c r="B2" t="n">
        <v>1</v>
      </c>
      <c r="C2" t="n">
        <v>2090000</v>
      </c>
      <c r="D2" t="inlineStr">
        <is>
          <t>Pay 1 Get 2</t>
        </is>
      </c>
      <c r="E2" t="n">
        <v>0</v>
      </c>
      <c r="F2" s="2" t="n">
        <v>46243</v>
      </c>
      <c r="G2" t="inlineStr">
        <is>
          <t>LAKINA</t>
        </is>
      </c>
      <c r="H2" t="inlineStr">
        <is>
          <t>M310</t>
        </is>
      </c>
      <c r="I2" t="n">
        <v>0</v>
      </c>
      <c r="J2" t="n">
        <v>1882883</v>
      </c>
      <c r="K2" t="n">
        <v>1882883</v>
      </c>
      <c r="L2" t="n">
        <v>2090000</v>
      </c>
      <c r="M2" t="n">
        <v>2090000</v>
      </c>
      <c r="N2" t="inlineStr">
        <is>
          <t>FFO</t>
        </is>
      </c>
      <c r="O2" t="n">
        <v>28839</v>
      </c>
      <c r="P2" t="n">
        <v>2</v>
      </c>
      <c r="Q2" t="n">
        <v>2</v>
      </c>
      <c r="R2" t="inlineStr">
        <is>
          <t>006</t>
        </is>
      </c>
      <c r="S2" t="n">
        <v>1</v>
      </c>
      <c r="T2" t="n">
        <v>0</v>
      </c>
      <c r="U2" t="n">
        <v>100</v>
      </c>
      <c r="V2" t="inlineStr">
        <is>
          <t>M310</t>
        </is>
      </c>
      <c r="W2" t="n">
        <v>2090000</v>
      </c>
      <c r="X2" t="n">
        <v>2090000</v>
      </c>
      <c r="Y2" t="inlineStr">
        <is>
          <t>6998</t>
        </is>
      </c>
      <c r="Z2" t="inlineStr">
        <is>
          <t>LAKINA            003003         X</t>
        </is>
      </c>
      <c r="AB2" t="inlineStr">
        <is>
          <t>M310</t>
        </is>
      </c>
      <c r="AC2" t="inlineStr">
        <is>
          <t>M310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SHS</t>
        </is>
      </c>
      <c r="AH2" t="inlineStr">
        <is>
          <t>EVERBEST LADIES SHOES BLACK 38</t>
        </is>
      </c>
      <c r="AI2" t="inlineStr">
        <is>
          <t>17286</t>
        </is>
      </c>
      <c r="AJ2" t="inlineStr">
        <is>
          <t>WLK999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JZ</t>
        </is>
      </c>
      <c r="AP2" t="inlineStr"/>
      <c r="AR2" t="inlineStr"/>
      <c r="AS2" t="inlineStr">
        <is>
          <t>996902070510</t>
        </is>
      </c>
      <c r="AT2" t="inlineStr">
        <is>
          <t>003</t>
        </is>
      </c>
      <c r="AU2" t="inlineStr">
        <is>
          <t>003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</row>
    <row r="3">
      <c r="A3" t="n">
        <v>28837</v>
      </c>
      <c r="B3" t="n">
        <v>1</v>
      </c>
      <c r="C3" t="n">
        <v>1890000</v>
      </c>
      <c r="D3" t="inlineStr">
        <is>
          <t>Pay 1 Get 2</t>
        </is>
      </c>
      <c r="E3" t="n">
        <v>0</v>
      </c>
      <c r="F3" s="2" t="n">
        <v>46242</v>
      </c>
      <c r="G3" t="inlineStr">
        <is>
          <t>LIVERA</t>
        </is>
      </c>
      <c r="H3" t="inlineStr">
        <is>
          <t>M310</t>
        </is>
      </c>
      <c r="I3" t="n">
        <v>0</v>
      </c>
      <c r="J3" t="n">
        <v>1702703</v>
      </c>
      <c r="K3" t="n">
        <v>1702703</v>
      </c>
      <c r="L3" t="n">
        <v>1890000</v>
      </c>
      <c r="M3" t="n">
        <v>1890000</v>
      </c>
      <c r="N3" t="inlineStr">
        <is>
          <t>FFO</t>
        </is>
      </c>
      <c r="O3" t="n">
        <v>28837</v>
      </c>
      <c r="P3" t="n">
        <v>1</v>
      </c>
      <c r="Q3" t="n">
        <v>1</v>
      </c>
      <c r="R3" t="inlineStr">
        <is>
          <t>006</t>
        </is>
      </c>
      <c r="S3" t="n">
        <v>1</v>
      </c>
      <c r="T3" t="n">
        <v>0</v>
      </c>
      <c r="U3" t="n">
        <v>100</v>
      </c>
      <c r="V3" t="inlineStr">
        <is>
          <t>M310</t>
        </is>
      </c>
      <c r="W3" t="n">
        <v>1890000</v>
      </c>
      <c r="X3" t="n">
        <v>1890000</v>
      </c>
      <c r="Y3" t="inlineStr">
        <is>
          <t>6998</t>
        </is>
      </c>
      <c r="Z3" t="inlineStr">
        <is>
          <t>LIVERA            003008         X</t>
        </is>
      </c>
      <c r="AB3" t="inlineStr">
        <is>
          <t>M310</t>
        </is>
      </c>
      <c r="AC3" t="inlineStr">
        <is>
          <t>M310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SHS</t>
        </is>
      </c>
      <c r="AH3" t="inlineStr">
        <is>
          <t>EVERBEST LADIES SHOES BLACK 39</t>
        </is>
      </c>
      <c r="AI3" t="inlineStr">
        <is>
          <t>16925</t>
        </is>
      </c>
      <c r="AJ3" t="inlineStr">
        <is>
          <t>WLK999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HU</t>
        </is>
      </c>
      <c r="AP3" t="inlineStr"/>
      <c r="AR3" t="inlineStr"/>
      <c r="AS3" t="inlineStr">
        <is>
          <t>996902070744</t>
        </is>
      </c>
      <c r="AT3" t="inlineStr">
        <is>
          <t>003</t>
        </is>
      </c>
      <c r="AU3" t="inlineStr">
        <is>
          <t>008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</row>
    <row r="4">
      <c r="A4" t="n">
        <v>28838</v>
      </c>
      <c r="B4" t="n">
        <v>1</v>
      </c>
      <c r="C4" t="n">
        <v>2290000</v>
      </c>
      <c r="D4" t="inlineStr">
        <is>
          <t>Pay 1 Get 2</t>
        </is>
      </c>
      <c r="E4" t="n">
        <v>0</v>
      </c>
      <c r="F4" s="2" t="n">
        <v>46242</v>
      </c>
      <c r="G4" t="inlineStr">
        <is>
          <t>ZAYNE</t>
        </is>
      </c>
      <c r="H4" t="inlineStr">
        <is>
          <t>M310</t>
        </is>
      </c>
      <c r="I4" t="n">
        <v>0</v>
      </c>
      <c r="J4" t="n">
        <v>2063063</v>
      </c>
      <c r="K4" t="n">
        <v>2063063</v>
      </c>
      <c r="L4" t="n">
        <v>2290000</v>
      </c>
      <c r="M4" t="n">
        <v>2290000</v>
      </c>
      <c r="N4" t="inlineStr">
        <is>
          <t>FFO</t>
        </is>
      </c>
      <c r="O4" t="n">
        <v>28838</v>
      </c>
      <c r="P4" t="n">
        <v>2</v>
      </c>
      <c r="Q4" t="n">
        <v>2</v>
      </c>
      <c r="R4" t="inlineStr">
        <is>
          <t>006</t>
        </is>
      </c>
      <c r="S4" t="n">
        <v>1</v>
      </c>
      <c r="T4" t="n">
        <v>0</v>
      </c>
      <c r="U4" t="n">
        <v>100</v>
      </c>
      <c r="V4" t="inlineStr">
        <is>
          <t>M310</t>
        </is>
      </c>
      <c r="W4" t="n">
        <v>2290000</v>
      </c>
      <c r="X4" t="n">
        <v>2290000</v>
      </c>
      <c r="Y4" t="inlineStr">
        <is>
          <t>6998</t>
        </is>
      </c>
      <c r="Z4" t="inlineStr">
        <is>
          <t>ZAYNE             00Z009         X</t>
        </is>
      </c>
      <c r="AB4" t="inlineStr">
        <is>
          <t>M310</t>
        </is>
      </c>
      <c r="AC4" t="inlineStr">
        <is>
          <t>M310</t>
        </is>
      </c>
      <c r="AD4" t="inlineStr">
        <is>
          <t xml:space="preserve">EB </t>
        </is>
      </c>
      <c r="AE4" t="inlineStr">
        <is>
          <t>MEN</t>
        </is>
      </c>
      <c r="AF4" t="inlineStr">
        <is>
          <t>SHS</t>
        </is>
      </c>
      <c r="AH4" t="inlineStr">
        <is>
          <t>EVERBEST MEN SHOES TAN 44</t>
        </is>
      </c>
      <c r="AI4" t="inlineStr">
        <is>
          <t>16281</t>
        </is>
      </c>
      <c r="AJ4" t="inlineStr">
        <is>
          <t>WLK999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DB</t>
        </is>
      </c>
      <c r="AP4" t="inlineStr"/>
      <c r="AQ4" t="inlineStr"/>
      <c r="AR4" t="inlineStr"/>
      <c r="AS4" t="inlineStr">
        <is>
          <t>996902067721</t>
        </is>
      </c>
      <c r="AT4" t="inlineStr">
        <is>
          <t>00Z</t>
        </is>
      </c>
      <c r="AU4" t="inlineStr">
        <is>
          <t>009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Disc Description (sheet RAW). Total &amp; LW Sales: penjualan brand per toko selama periode promo &amp; periode LW (query sales toko).</t>
        </is>
      </c>
    </row>
    <row r="4">
      <c r="A4" s="5" t="inlineStr">
        <is>
          <t>Store Code</t>
        </is>
      </c>
      <c r="B4" s="5" t="inlineStr">
        <is>
          <t>Pay 1 Get 2</t>
        </is>
      </c>
      <c r="C4" s="6" t="n"/>
      <c r="D4" s="7" t="inlineStr">
        <is>
          <t>Total (8-9 Agu'26)</t>
        </is>
      </c>
      <c r="E4" s="6" t="n"/>
      <c r="F4" s="7" t="inlineStr">
        <is>
          <t>Stock 27 Jul 2026</t>
        </is>
      </c>
      <c r="G4" s="7" t="inlineStr">
        <is>
          <t>Sellthru</t>
        </is>
      </c>
      <c r="H4" s="7" t="inlineStr">
        <is>
          <t>Cont%</t>
        </is>
      </c>
      <c r="I4" s="7" t="inlineStr">
        <is>
          <t>LW Sales (1-2 Agu'26)</t>
        </is>
      </c>
      <c r="J4" s="6" t="n"/>
      <c r="K4" s="7" t="inlineStr">
        <is>
          <t>Growth%</t>
        </is>
      </c>
    </row>
    <row r="5">
      <c r="B5" s="8" t="inlineStr">
        <is>
          <t>Qty</t>
        </is>
      </c>
      <c r="C5" s="8" t="inlineStr">
        <is>
          <t>Amount</t>
        </is>
      </c>
      <c r="D5" s="8" t="inlineStr">
        <is>
          <t>Qty</t>
        </is>
      </c>
      <c r="E5" s="8" t="inlineStr">
        <is>
          <t>Amount</t>
        </is>
      </c>
      <c r="F5" s="6" t="n"/>
      <c r="G5" s="6" t="n"/>
      <c r="H5" s="6" t="n"/>
      <c r="I5" s="8" t="inlineStr">
        <is>
          <t>Qty</t>
        </is>
      </c>
      <c r="J5" s="8" t="inlineStr">
        <is>
          <t>Amount</t>
        </is>
      </c>
      <c r="K5" s="6" t="n"/>
    </row>
    <row r="6">
      <c r="A6" s="9" t="inlineStr">
        <is>
          <t>M310</t>
        </is>
      </c>
      <c r="B6" s="10">
        <f>SUMIFS(RAW!$B$2:$B$4,RAW!$H$2:$H$4,$A6,RAW!$D$2:$D$4,B$4)</f>
        <v/>
      </c>
      <c r="C6" s="10">
        <f>SUMIFS(RAW!$E$2:$E$4,RAW!$H$2:$H$4,$A6,RAW!$D$2:$D$4,B$4)</f>
        <v/>
      </c>
      <c r="D6" s="11" t="n">
        <v>17</v>
      </c>
      <c r="E6" s="11" t="n">
        <v>22431100</v>
      </c>
      <c r="F6" s="12" t="n"/>
      <c r="G6" s="13">
        <f>D6/F6</f>
        <v/>
      </c>
      <c r="H6" s="13">
        <f>D6/$D$7</f>
        <v/>
      </c>
      <c r="I6" s="10" t="n">
        <v>19</v>
      </c>
      <c r="J6" s="10" t="n">
        <v>23485550</v>
      </c>
      <c r="K6" s="13">
        <f>E6/J6-1</f>
        <v/>
      </c>
    </row>
    <row r="7">
      <c r="A7" s="14" t="inlineStr">
        <is>
          <t>GRAND TOTAL</t>
        </is>
      </c>
      <c r="B7" s="15">
        <f>SUM(B6:B6)</f>
        <v/>
      </c>
      <c r="C7" s="15">
        <f>SUM(C6:C6)</f>
        <v/>
      </c>
      <c r="D7" s="15">
        <f>SUM(D6:D6)</f>
        <v/>
      </c>
      <c r="E7" s="15">
        <f>SUM(E6:E6)</f>
        <v/>
      </c>
      <c r="F7" s="15">
        <f>SUM(F6:F6)</f>
        <v/>
      </c>
      <c r="G7" s="16">
        <f>D7/F7</f>
        <v/>
      </c>
      <c r="H7" s="16">
        <f>1</f>
        <v/>
      </c>
      <c r="I7" s="15">
        <f>SUM(I6:I6)</f>
        <v/>
      </c>
      <c r="J7" s="15">
        <f>SUM(J6:J6)</f>
        <v/>
      </c>
      <c r="K7" s="16">
        <f>E7/J7-1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2026-09-23T10:29:22Z</dcterms:created>
  <dcterms:modified xmlns:dcterms="http://purl.org/dc/terms/" xmlns:xsi="http://www.w3.org/2001/XMLSchema-instance" xsi:type="dcterms:W3CDTF">2026-09-23T10:29:22Z</dcterms:modified>
</cp:coreProperties>
</file>