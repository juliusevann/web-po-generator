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AW" sheetId="1" state="visible" r:id="rId1"/>
    <sheet xmlns:r="http://schemas.openxmlformats.org/officeDocument/2006/relationships" name="SUMMA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0.0%"/>
  </numFmts>
  <fonts count="6">
    <font>
      <name val="Calibri"/>
      <family val="2"/>
      <color theme="1"/>
      <sz val="11"/>
      <scheme val="minor"/>
    </font>
    <font>
      <name val="Arial"/>
      <b val="1"/>
    </font>
    <font>
      <name val="Arial"/>
      <b val="1"/>
      <sz val="14"/>
    </font>
    <font>
      <name val="Arial"/>
      <i val="1"/>
      <color rgb="00808080"/>
      <sz val="9"/>
    </font>
    <font>
      <name val="Arial"/>
      <b val="1"/>
      <color rgb="00FFFFFF"/>
    </font>
    <font>
      <name val="Arial"/>
    </font>
  </fonts>
  <fills count="6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D9E1F2"/>
      </patternFill>
    </fill>
    <fill>
      <patternFill patternType="solid">
        <fgColor rgb="00FFF2CC"/>
      </patternFill>
    </fill>
    <fill>
      <patternFill patternType="solid">
        <fgColor rgb="00FCE4D6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17">
    <xf numFmtId="0" fontId="0" fillId="0" borderId="0" pivotButton="0" quotePrefix="0" xfId="0"/>
    <xf numFmtId="0" fontId="1" fillId="0" borderId="0" pivotButton="0" quotePrefix="0" xfId="0"/>
    <xf numFmtId="164" fontId="0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1" applyAlignment="1" pivotButton="0" quotePrefix="0" xfId="0">
      <alignment horizontal="center" vertical="center"/>
    </xf>
    <xf numFmtId="0" fontId="0" fillId="0" borderId="1" pivotButton="0" quotePrefix="0" xfId="0"/>
    <xf numFmtId="0" fontId="4" fillId="2" borderId="1" applyAlignment="1" pivotButton="0" quotePrefix="0" xfId="0">
      <alignment horizontal="center" vertical="center" wrapText="1"/>
    </xf>
    <xf numFmtId="0" fontId="1" fillId="3" borderId="1" applyAlignment="1" pivotButton="0" quotePrefix="0" xfId="0">
      <alignment horizontal="center" vertical="center"/>
    </xf>
    <xf numFmtId="0" fontId="5" fillId="0" borderId="1" applyAlignment="1" pivotButton="0" quotePrefix="0" xfId="0">
      <alignment horizontal="center"/>
    </xf>
    <xf numFmtId="3" fontId="5" fillId="0" borderId="1" pivotButton="0" quotePrefix="0" xfId="0"/>
    <xf numFmtId="3" fontId="1" fillId="0" borderId="1" pivotButton="0" quotePrefix="0" xfId="0"/>
    <xf numFmtId="3" fontId="0" fillId="4" borderId="1" pivotButton="0" quotePrefix="0" xfId="0"/>
    <xf numFmtId="165" fontId="5" fillId="0" borderId="1" pivotButton="0" quotePrefix="0" xfId="0"/>
    <xf numFmtId="0" fontId="1" fillId="5" borderId="1" pivotButton="0" quotePrefix="0" xfId="0"/>
    <xf numFmtId="3" fontId="1" fillId="5" borderId="1" pivotButton="0" quotePrefix="0" xfId="0"/>
    <xf numFmtId="165" fontId="1" fillId="5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X3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  <col width="20" customWidth="1" min="14" max="14"/>
    <col width="20" customWidth="1" min="15" max="15"/>
    <col width="20" customWidth="1" min="16" max="16"/>
    <col width="20" customWidth="1" min="17" max="17"/>
    <col width="20" customWidth="1" min="18" max="18"/>
    <col width="20" customWidth="1" min="19" max="19"/>
    <col width="20" customWidth="1" min="20" max="20"/>
    <col width="20" customWidth="1" min="21" max="21"/>
    <col width="20" customWidth="1" min="22" max="22"/>
    <col width="20" customWidth="1" min="23" max="23"/>
    <col width="20" customWidth="1" min="24" max="24"/>
    <col width="20" customWidth="1" min="25" max="25"/>
    <col width="20" customWidth="1" min="26" max="26"/>
    <col width="20" customWidth="1" min="27" max="27"/>
    <col width="20" customWidth="1" min="28" max="28"/>
    <col width="20" customWidth="1" min="29" max="29"/>
    <col width="20" customWidth="1" min="30" max="30"/>
    <col width="20" customWidth="1" min="31" max="31"/>
    <col width="20" customWidth="1" min="32" max="32"/>
    <col width="20" customWidth="1" min="33" max="33"/>
    <col width="20" customWidth="1" min="34" max="34"/>
    <col width="20" customWidth="1" min="35" max="35"/>
    <col width="20" customWidth="1" min="36" max="36"/>
    <col width="20" customWidth="1" min="37" max="37"/>
    <col width="20" customWidth="1" min="38" max="38"/>
    <col width="20" customWidth="1" min="39" max="39"/>
    <col width="20" customWidth="1" min="40" max="40"/>
    <col width="20" customWidth="1" min="41" max="41"/>
    <col width="20" customWidth="1" min="42" max="42"/>
    <col width="20" customWidth="1" min="43" max="43"/>
    <col width="20" customWidth="1" min="44" max="44"/>
    <col width="20" customWidth="1" min="45" max="45"/>
    <col width="20" customWidth="1" min="46" max="46"/>
    <col width="20" customWidth="1" min="47" max="47"/>
    <col width="20" customWidth="1" min="48" max="48"/>
    <col width="20" customWidth="1" min="49" max="49"/>
    <col width="20" customWidth="1" min="50" max="50"/>
  </cols>
  <sheetData>
    <row r="1">
      <c r="A1" s="1" t="inlineStr">
        <is>
          <t>Invoice Number</t>
        </is>
      </c>
      <c r="B1" s="1" t="inlineStr">
        <is>
          <t>Quantity</t>
        </is>
      </c>
      <c r="C1" s="1" t="inlineStr">
        <is>
          <t>Retail Price</t>
        </is>
      </c>
      <c r="D1" s="1" t="inlineStr">
        <is>
          <t>Disc Description</t>
        </is>
      </c>
      <c r="E1" s="1" t="inlineStr">
        <is>
          <t>Selling Price</t>
        </is>
      </c>
      <c r="F1" s="1" t="inlineStr">
        <is>
          <t>Document Data</t>
        </is>
      </c>
      <c r="G1" s="1" t="inlineStr">
        <is>
          <t>Item Code</t>
        </is>
      </c>
      <c r="H1" s="1" t="inlineStr">
        <is>
          <t>Store of the document</t>
        </is>
      </c>
      <c r="I1" s="1" t="inlineStr">
        <is>
          <t>Document Index</t>
        </is>
      </c>
      <c r="J1" s="1" t="inlineStr">
        <is>
          <t>Disc - Tax excl. amount</t>
        </is>
      </c>
      <c r="K1" s="1" t="inlineStr">
        <is>
          <t>Disc - Tax excl. amount in currency</t>
        </is>
      </c>
      <c r="L1" s="1" t="inlineStr">
        <is>
          <t>Disc - Tax incl. amount</t>
        </is>
      </c>
      <c r="M1" s="1" t="inlineStr">
        <is>
          <t>Disc - Tax incl. amount in currency</t>
        </is>
      </c>
      <c r="N1" s="1" t="inlineStr">
        <is>
          <t>Disc line type</t>
        </is>
      </c>
      <c r="O1" s="1" t="inlineStr">
        <is>
          <t>Doc number</t>
        </is>
      </c>
      <c r="P1" s="1" t="inlineStr">
        <is>
          <t>Line number</t>
        </is>
      </c>
      <c r="Q1" s="1" t="inlineStr">
        <is>
          <t>Order Number</t>
        </is>
      </c>
      <c r="R1" s="1" t="inlineStr">
        <is>
          <t>Origin of discount</t>
        </is>
      </c>
      <c r="S1" s="1" t="inlineStr">
        <is>
          <t>Ranking number</t>
        </is>
      </c>
      <c r="T1" s="1" t="inlineStr">
        <is>
          <t>Line ranking number</t>
        </is>
      </c>
      <c r="U1" s="1" t="inlineStr">
        <is>
          <t>Disc percentage</t>
        </is>
      </c>
      <c r="V1" s="1" t="inlineStr">
        <is>
          <t>Disc line stub</t>
        </is>
      </c>
      <c r="W1" s="1" t="inlineStr">
        <is>
          <t>Disc basis</t>
        </is>
      </c>
      <c r="X1" s="1" t="inlineStr">
        <is>
          <t>Disc basis price - currency</t>
        </is>
      </c>
      <c r="Y1" s="1" t="inlineStr">
        <is>
          <t>Sales Condition</t>
        </is>
      </c>
      <c r="Z1" s="1" t="inlineStr">
        <is>
          <t>Item Identiier</t>
        </is>
      </c>
      <c r="AA1" s="1" t="inlineStr">
        <is>
          <t>Register of the line</t>
        </is>
      </c>
      <c r="AB1" s="1" t="inlineStr">
        <is>
          <t>Warehouse Doc</t>
        </is>
      </c>
      <c r="AC1" s="1" t="inlineStr">
        <is>
          <t>Store - document line</t>
        </is>
      </c>
      <c r="AD1" s="1" t="inlineStr">
        <is>
          <t>Brand</t>
        </is>
      </c>
      <c r="AE1" s="1" t="inlineStr">
        <is>
          <t>Dept</t>
        </is>
      </c>
      <c r="AF1" s="1" t="inlineStr">
        <is>
          <t>Segment</t>
        </is>
      </c>
      <c r="AG1" s="1" t="inlineStr">
        <is>
          <t>Countermark supplier</t>
        </is>
      </c>
      <c r="AH1" s="1" t="inlineStr">
        <is>
          <t>Line Description</t>
        </is>
      </c>
      <c r="AI1" s="1" t="inlineStr">
        <is>
          <t>Doc lin sales representative</t>
        </is>
      </c>
      <c r="AJ1" s="1" t="inlineStr">
        <is>
          <t>Third party of the line</t>
        </is>
      </c>
      <c r="AK1" s="1" t="inlineStr">
        <is>
          <t>Item type line</t>
        </is>
      </c>
      <c r="AL1" s="1" t="inlineStr">
        <is>
          <t>Type of line</t>
        </is>
      </c>
      <c r="AM1" s="1" t="inlineStr">
        <is>
          <t>Shipping status for items</t>
        </is>
      </c>
      <c r="AN1" s="1" t="inlineStr">
        <is>
          <t>Doc of consigned items</t>
        </is>
      </c>
      <c r="AO1" s="1" t="inlineStr">
        <is>
          <t>Vendor Style Code</t>
        </is>
      </c>
      <c r="AP1" s="1" t="inlineStr">
        <is>
          <t>Add item description</t>
        </is>
      </c>
      <c r="AQ1" s="1" t="inlineStr">
        <is>
          <t>Dimension</t>
        </is>
      </c>
      <c r="AR1" s="1" t="inlineStr">
        <is>
          <t>Develop code</t>
        </is>
      </c>
      <c r="AS1" s="1" t="inlineStr">
        <is>
          <t>Item barcode</t>
        </is>
      </c>
      <c r="AT1" s="1" t="inlineStr">
        <is>
          <t>Colour</t>
        </is>
      </c>
      <c r="AU1" s="1" t="inlineStr">
        <is>
          <t>Size</t>
        </is>
      </c>
      <c r="AV1" s="1" t="inlineStr">
        <is>
          <t>Dimension 3</t>
        </is>
      </c>
      <c r="AW1" s="1" t="inlineStr">
        <is>
          <t>Dimension 4</t>
        </is>
      </c>
      <c r="AX1" s="1" t="inlineStr">
        <is>
          <t>Dimension 5</t>
        </is>
      </c>
    </row>
    <row r="2">
      <c r="A2" t="n">
        <v>24709</v>
      </c>
      <c r="B2" t="n">
        <v>1</v>
      </c>
      <c r="C2" t="n">
        <v>1890000</v>
      </c>
      <c r="D2" t="inlineStr">
        <is>
          <t>Special Offer</t>
        </is>
      </c>
      <c r="E2" t="n">
        <v>0</v>
      </c>
      <c r="F2" s="2" t="n">
        <v>46284</v>
      </c>
      <c r="G2" t="inlineStr">
        <is>
          <t>GAVESHA</t>
        </is>
      </c>
      <c r="H2" t="inlineStr">
        <is>
          <t>E552</t>
        </is>
      </c>
      <c r="I2" t="n">
        <v>0</v>
      </c>
      <c r="J2" t="n">
        <v>1702703</v>
      </c>
      <c r="K2" t="n">
        <v>1702703</v>
      </c>
      <c r="L2" t="n">
        <v>1890000</v>
      </c>
      <c r="M2" t="n">
        <v>1890000</v>
      </c>
      <c r="N2" t="inlineStr">
        <is>
          <t>FFO</t>
        </is>
      </c>
      <c r="O2" t="n">
        <v>24709</v>
      </c>
      <c r="P2" t="n">
        <v>3</v>
      </c>
      <c r="Q2" t="n">
        <v>3</v>
      </c>
      <c r="R2" t="inlineStr">
        <is>
          <t>006</t>
        </is>
      </c>
      <c r="S2" t="n">
        <v>1</v>
      </c>
      <c r="T2" t="n">
        <v>0</v>
      </c>
      <c r="U2" t="n">
        <v>100</v>
      </c>
      <c r="V2" t="inlineStr">
        <is>
          <t>E552</t>
        </is>
      </c>
      <c r="W2" t="n">
        <v>1890000</v>
      </c>
      <c r="X2" t="n">
        <v>1890000</v>
      </c>
      <c r="Y2" t="inlineStr">
        <is>
          <t>7093B</t>
        </is>
      </c>
      <c r="Z2" t="inlineStr">
        <is>
          <t>GAVESHA           001001         X</t>
        </is>
      </c>
      <c r="AB2" t="inlineStr">
        <is>
          <t>E552</t>
        </is>
      </c>
      <c r="AC2" t="inlineStr">
        <is>
          <t>E552</t>
        </is>
      </c>
      <c r="AD2" t="inlineStr">
        <is>
          <t xml:space="preserve">EB </t>
        </is>
      </c>
      <c r="AE2" t="inlineStr">
        <is>
          <t>LDS</t>
        </is>
      </c>
      <c r="AF2" t="inlineStr">
        <is>
          <t>BAG</t>
        </is>
      </c>
      <c r="AH2" t="inlineStr">
        <is>
          <t>EVERBEST LADIES BAGS ALMOND FREE SIZE</t>
        </is>
      </c>
      <c r="AI2" t="inlineStr">
        <is>
          <t>16373</t>
        </is>
      </c>
      <c r="AJ2" t="inlineStr">
        <is>
          <t>Q6UYY7967633</t>
        </is>
      </c>
      <c r="AL2" t="inlineStr">
        <is>
          <t>ART</t>
        </is>
      </c>
      <c r="AM2" t="inlineStr">
        <is>
          <t xml:space="preserve">   </t>
        </is>
      </c>
      <c r="AO2" t="inlineStr">
        <is>
          <t>HBYY</t>
        </is>
      </c>
      <c r="AP2" t="inlineStr"/>
      <c r="AQ2" t="inlineStr"/>
      <c r="AR2" t="inlineStr"/>
      <c r="AS2" t="inlineStr">
        <is>
          <t>996902081884</t>
        </is>
      </c>
      <c r="AT2" t="inlineStr">
        <is>
          <t>001</t>
        </is>
      </c>
      <c r="AU2" t="inlineStr">
        <is>
          <t>001</t>
        </is>
      </c>
      <c r="AV2" t="inlineStr">
        <is>
          <t xml:space="preserve">   </t>
        </is>
      </c>
      <c r="AW2" t="inlineStr">
        <is>
          <t xml:space="preserve">   </t>
        </is>
      </c>
      <c r="AX2" t="inlineStr">
        <is>
          <t xml:space="preserve">   </t>
        </is>
      </c>
    </row>
    <row r="3">
      <c r="A3" t="n">
        <v>24710</v>
      </c>
      <c r="B3" t="n">
        <v>1</v>
      </c>
      <c r="C3" t="n">
        <v>790000</v>
      </c>
      <c r="D3" t="inlineStr">
        <is>
          <t>Special Offer</t>
        </is>
      </c>
      <c r="E3" t="n">
        <v>0</v>
      </c>
      <c r="F3" s="2" t="n">
        <v>46284</v>
      </c>
      <c r="G3" t="inlineStr">
        <is>
          <t>REIGN</t>
        </is>
      </c>
      <c r="H3" t="inlineStr">
        <is>
          <t>E552</t>
        </is>
      </c>
      <c r="I3" t="n">
        <v>0</v>
      </c>
      <c r="J3" t="n">
        <v>711712</v>
      </c>
      <c r="K3" t="n">
        <v>711712</v>
      </c>
      <c r="L3" t="n">
        <v>790000</v>
      </c>
      <c r="M3" t="n">
        <v>790000</v>
      </c>
      <c r="N3" t="inlineStr">
        <is>
          <t>FFO</t>
        </is>
      </c>
      <c r="O3" t="n">
        <v>24710</v>
      </c>
      <c r="P3" t="n">
        <v>2</v>
      </c>
      <c r="Q3" t="n">
        <v>2</v>
      </c>
      <c r="R3" t="inlineStr">
        <is>
          <t>006</t>
        </is>
      </c>
      <c r="S3" t="n">
        <v>1</v>
      </c>
      <c r="T3" t="n">
        <v>0</v>
      </c>
      <c r="U3" t="n">
        <v>100</v>
      </c>
      <c r="V3" t="inlineStr">
        <is>
          <t>E552</t>
        </is>
      </c>
      <c r="W3" t="n">
        <v>790000</v>
      </c>
      <c r="X3" t="n">
        <v>790000</v>
      </c>
      <c r="Y3" t="inlineStr">
        <is>
          <t>7093A</t>
        </is>
      </c>
      <c r="Z3" t="inlineStr">
        <is>
          <t>REIGN             001001         X</t>
        </is>
      </c>
      <c r="AB3" t="inlineStr">
        <is>
          <t>E552</t>
        </is>
      </c>
      <c r="AC3" t="inlineStr">
        <is>
          <t>E552</t>
        </is>
      </c>
      <c r="AD3" t="inlineStr">
        <is>
          <t xml:space="preserve">EB </t>
        </is>
      </c>
      <c r="AE3" t="inlineStr">
        <is>
          <t>LDS</t>
        </is>
      </c>
      <c r="AF3" t="inlineStr">
        <is>
          <t>SLG</t>
        </is>
      </c>
      <c r="AH3" t="inlineStr">
        <is>
          <t>EVERBEST LADIES LANYARD ALMOND FREE SIZE</t>
        </is>
      </c>
      <c r="AI3" t="inlineStr">
        <is>
          <t>16563</t>
        </is>
      </c>
      <c r="AJ3" t="inlineStr">
        <is>
          <t>5YBGZ5967646</t>
        </is>
      </c>
      <c r="AL3" t="inlineStr">
        <is>
          <t>ART</t>
        </is>
      </c>
      <c r="AM3" t="inlineStr">
        <is>
          <t xml:space="preserve">   </t>
        </is>
      </c>
      <c r="AO3" t="inlineStr">
        <is>
          <t>EVG</t>
        </is>
      </c>
      <c r="AP3" t="inlineStr"/>
      <c r="AQ3" t="inlineStr">
        <is>
          <t>8.5(L) x 12.4(H) cm</t>
        </is>
      </c>
      <c r="AR3" t="inlineStr"/>
      <c r="AS3" t="inlineStr">
        <is>
          <t>996902074595</t>
        </is>
      </c>
      <c r="AT3" t="inlineStr">
        <is>
          <t>001</t>
        </is>
      </c>
      <c r="AU3" t="inlineStr">
        <is>
          <t>001</t>
        </is>
      </c>
      <c r="AV3" t="inlineStr">
        <is>
          <t xml:space="preserve">   </t>
        </is>
      </c>
      <c r="AW3" t="inlineStr">
        <is>
          <t xml:space="preserve">   </t>
        </is>
      </c>
      <c r="AX3" t="inlineStr">
        <is>
          <t xml:space="preserve">   </t>
        </is>
      </c>
    </row>
    <row r="4">
      <c r="A4" t="n">
        <v>28280</v>
      </c>
      <c r="B4" t="n">
        <v>1</v>
      </c>
      <c r="C4" t="n">
        <v>1890000</v>
      </c>
      <c r="D4" t="inlineStr">
        <is>
          <t>Special Offer</t>
        </is>
      </c>
      <c r="E4" t="n">
        <v>0</v>
      </c>
      <c r="F4" s="2" t="n">
        <v>46284</v>
      </c>
      <c r="G4" t="inlineStr">
        <is>
          <t>GAVESHA</t>
        </is>
      </c>
      <c r="H4" t="inlineStr">
        <is>
          <t>E630</t>
        </is>
      </c>
      <c r="I4" t="n">
        <v>0</v>
      </c>
      <c r="J4" t="n">
        <v>1702703</v>
      </c>
      <c r="K4" t="n">
        <v>1702703</v>
      </c>
      <c r="L4" t="n">
        <v>1890000</v>
      </c>
      <c r="M4" t="n">
        <v>1890000</v>
      </c>
      <c r="N4" t="inlineStr">
        <is>
          <t>FFO</t>
        </is>
      </c>
      <c r="O4" t="n">
        <v>28280</v>
      </c>
      <c r="P4" t="n">
        <v>4</v>
      </c>
      <c r="Q4" t="n">
        <v>4</v>
      </c>
      <c r="R4" t="inlineStr">
        <is>
          <t>006</t>
        </is>
      </c>
      <c r="S4" t="n">
        <v>1</v>
      </c>
      <c r="T4" t="n">
        <v>0</v>
      </c>
      <c r="U4" t="n">
        <v>100</v>
      </c>
      <c r="V4" t="inlineStr">
        <is>
          <t>E630</t>
        </is>
      </c>
      <c r="W4" t="n">
        <v>1890000</v>
      </c>
      <c r="X4" t="n">
        <v>1890000</v>
      </c>
      <c r="Y4" t="inlineStr">
        <is>
          <t>7093B</t>
        </is>
      </c>
      <c r="Z4" t="inlineStr">
        <is>
          <t>GAVESHA           00Z001         X</t>
        </is>
      </c>
      <c r="AB4" t="inlineStr">
        <is>
          <t>E630</t>
        </is>
      </c>
      <c r="AC4" t="inlineStr">
        <is>
          <t>E630</t>
        </is>
      </c>
      <c r="AD4" t="inlineStr">
        <is>
          <t xml:space="preserve">EB </t>
        </is>
      </c>
      <c r="AE4" t="inlineStr">
        <is>
          <t>LDS</t>
        </is>
      </c>
      <c r="AF4" t="inlineStr">
        <is>
          <t>BAG</t>
        </is>
      </c>
      <c r="AH4" t="inlineStr">
        <is>
          <t>EVERBEST LADIES BAGS TAN FREE SIZE</t>
        </is>
      </c>
      <c r="AI4" t="inlineStr">
        <is>
          <t>17283</t>
        </is>
      </c>
      <c r="AJ4" t="inlineStr">
        <is>
          <t>8X16IS967678</t>
        </is>
      </c>
      <c r="AL4" t="inlineStr">
        <is>
          <t>ART</t>
        </is>
      </c>
      <c r="AM4" t="inlineStr">
        <is>
          <t xml:space="preserve">   </t>
        </is>
      </c>
      <c r="AO4" t="inlineStr">
        <is>
          <t>HBYY</t>
        </is>
      </c>
      <c r="AP4" t="inlineStr"/>
      <c r="AQ4" t="inlineStr"/>
      <c r="AR4" t="inlineStr"/>
      <c r="AS4" t="inlineStr">
        <is>
          <t>996902081885</t>
        </is>
      </c>
      <c r="AT4" t="inlineStr">
        <is>
          <t>00Z</t>
        </is>
      </c>
      <c r="AU4" t="inlineStr">
        <is>
          <t>001</t>
        </is>
      </c>
      <c r="AV4" t="inlineStr">
        <is>
          <t xml:space="preserve">   </t>
        </is>
      </c>
      <c r="AW4" t="inlineStr">
        <is>
          <t xml:space="preserve">   </t>
        </is>
      </c>
      <c r="AX4" t="inlineStr">
        <is>
          <t xml:space="preserve">   </t>
        </is>
      </c>
    </row>
    <row r="5">
      <c r="A5" t="n">
        <v>53165</v>
      </c>
      <c r="B5" t="n">
        <v>1</v>
      </c>
      <c r="C5" t="n">
        <v>1890000</v>
      </c>
      <c r="D5" t="inlineStr">
        <is>
          <t>Special Offer</t>
        </is>
      </c>
      <c r="E5" t="n">
        <v>0</v>
      </c>
      <c r="F5" s="2" t="n">
        <v>46284</v>
      </c>
      <c r="G5" t="inlineStr">
        <is>
          <t>GAVESHA</t>
        </is>
      </c>
      <c r="H5" t="inlineStr">
        <is>
          <t>E820</t>
        </is>
      </c>
      <c r="I5" t="n">
        <v>0</v>
      </c>
      <c r="J5" t="n">
        <v>1702703</v>
      </c>
      <c r="K5" t="n">
        <v>1702703</v>
      </c>
      <c r="L5" t="n">
        <v>1890000</v>
      </c>
      <c r="M5" t="n">
        <v>1890000</v>
      </c>
      <c r="N5" t="inlineStr">
        <is>
          <t>FFO</t>
        </is>
      </c>
      <c r="O5" t="n">
        <v>53165</v>
      </c>
      <c r="P5" t="n">
        <v>3</v>
      </c>
      <c r="Q5" t="n">
        <v>3</v>
      </c>
      <c r="R5" t="inlineStr">
        <is>
          <t>006</t>
        </is>
      </c>
      <c r="S5" t="n">
        <v>1</v>
      </c>
      <c r="T5" t="n">
        <v>0</v>
      </c>
      <c r="U5" t="n">
        <v>100</v>
      </c>
      <c r="V5" t="inlineStr">
        <is>
          <t>E820</t>
        </is>
      </c>
      <c r="W5" t="n">
        <v>1890000</v>
      </c>
      <c r="X5" t="n">
        <v>1890000</v>
      </c>
      <c r="Y5" t="inlineStr">
        <is>
          <t>7093B</t>
        </is>
      </c>
      <c r="Z5" t="inlineStr">
        <is>
          <t>GAVESHA           00Z001         X</t>
        </is>
      </c>
      <c r="AB5" t="inlineStr">
        <is>
          <t>E820</t>
        </is>
      </c>
      <c r="AC5" t="inlineStr">
        <is>
          <t>E820</t>
        </is>
      </c>
      <c r="AD5" t="inlineStr">
        <is>
          <t xml:space="preserve">EB </t>
        </is>
      </c>
      <c r="AE5" t="inlineStr">
        <is>
          <t>LDS</t>
        </is>
      </c>
      <c r="AF5" t="inlineStr">
        <is>
          <t>BAG</t>
        </is>
      </c>
      <c r="AH5" t="inlineStr">
        <is>
          <t>EVERBEST LADIES BAGS TAN FREE SIZE</t>
        </is>
      </c>
      <c r="AI5" t="inlineStr">
        <is>
          <t>17100</t>
        </is>
      </c>
      <c r="AJ5" t="inlineStr">
        <is>
          <t>PBFZ6G967597</t>
        </is>
      </c>
      <c r="AL5" t="inlineStr">
        <is>
          <t>ART</t>
        </is>
      </c>
      <c r="AM5" t="inlineStr">
        <is>
          <t xml:space="preserve">   </t>
        </is>
      </c>
      <c r="AO5" t="inlineStr">
        <is>
          <t>HBYY</t>
        </is>
      </c>
      <c r="AP5" t="inlineStr"/>
      <c r="AQ5" t="inlineStr"/>
      <c r="AR5" t="inlineStr"/>
      <c r="AS5" t="inlineStr">
        <is>
          <t>996902081885</t>
        </is>
      </c>
      <c r="AT5" t="inlineStr">
        <is>
          <t>00Z</t>
        </is>
      </c>
      <c r="AU5" t="inlineStr">
        <is>
          <t>001</t>
        </is>
      </c>
      <c r="AV5" t="inlineStr">
        <is>
          <t xml:space="preserve">   </t>
        </is>
      </c>
      <c r="AW5" t="inlineStr">
        <is>
          <t xml:space="preserve">   </t>
        </is>
      </c>
      <c r="AX5" t="inlineStr">
        <is>
          <t xml:space="preserve">   </t>
        </is>
      </c>
    </row>
    <row r="6">
      <c r="A6" t="n">
        <v>53168</v>
      </c>
      <c r="B6" t="n">
        <v>1</v>
      </c>
      <c r="C6" t="n">
        <v>1890000</v>
      </c>
      <c r="D6" t="inlineStr">
        <is>
          <t>Special Offer</t>
        </is>
      </c>
      <c r="E6" t="n">
        <v>0</v>
      </c>
      <c r="F6" s="2" t="n">
        <v>46284</v>
      </c>
      <c r="G6" t="inlineStr">
        <is>
          <t>GAVESHA</t>
        </is>
      </c>
      <c r="H6" t="inlineStr">
        <is>
          <t>E820</t>
        </is>
      </c>
      <c r="I6" t="n">
        <v>0</v>
      </c>
      <c r="J6" t="n">
        <v>1702703</v>
      </c>
      <c r="K6" t="n">
        <v>1702703</v>
      </c>
      <c r="L6" t="n">
        <v>1890000</v>
      </c>
      <c r="M6" t="n">
        <v>1890000</v>
      </c>
      <c r="N6" t="inlineStr">
        <is>
          <t>FFO</t>
        </is>
      </c>
      <c r="O6" t="n">
        <v>53168</v>
      </c>
      <c r="P6" t="n">
        <v>3</v>
      </c>
      <c r="Q6" t="n">
        <v>3</v>
      </c>
      <c r="R6" t="inlineStr">
        <is>
          <t>006</t>
        </is>
      </c>
      <c r="S6" t="n">
        <v>1</v>
      </c>
      <c r="T6" t="n">
        <v>0</v>
      </c>
      <c r="U6" t="n">
        <v>100</v>
      </c>
      <c r="V6" t="inlineStr">
        <is>
          <t>E820</t>
        </is>
      </c>
      <c r="W6" t="n">
        <v>1890000</v>
      </c>
      <c r="X6" t="n">
        <v>1890000</v>
      </c>
      <c r="Y6" t="inlineStr">
        <is>
          <t>7093B</t>
        </is>
      </c>
      <c r="Z6" t="inlineStr">
        <is>
          <t>GAVESHA           003001         X</t>
        </is>
      </c>
      <c r="AB6" t="inlineStr">
        <is>
          <t>E820</t>
        </is>
      </c>
      <c r="AC6" t="inlineStr">
        <is>
          <t>E820</t>
        </is>
      </c>
      <c r="AD6" t="inlineStr">
        <is>
          <t xml:space="preserve">EB </t>
        </is>
      </c>
      <c r="AE6" t="inlineStr">
        <is>
          <t>LDS</t>
        </is>
      </c>
      <c r="AF6" t="inlineStr">
        <is>
          <t>BAG</t>
        </is>
      </c>
      <c r="AH6" t="inlineStr">
        <is>
          <t>EVERBEST LADIES BAGS BLACK FREE SIZE</t>
        </is>
      </c>
      <c r="AI6" t="inlineStr">
        <is>
          <t>17138</t>
        </is>
      </c>
      <c r="AJ6" t="inlineStr">
        <is>
          <t>CONCK3967656</t>
        </is>
      </c>
      <c r="AL6" t="inlineStr">
        <is>
          <t>ART</t>
        </is>
      </c>
      <c r="AM6" t="inlineStr">
        <is>
          <t xml:space="preserve">   </t>
        </is>
      </c>
      <c r="AO6" t="inlineStr">
        <is>
          <t>HBYY</t>
        </is>
      </c>
      <c r="AP6" t="inlineStr"/>
      <c r="AQ6" t="inlineStr"/>
      <c r="AR6" t="inlineStr"/>
      <c r="AS6" t="inlineStr">
        <is>
          <t>996902081883</t>
        </is>
      </c>
      <c r="AT6" t="inlineStr">
        <is>
          <t>003</t>
        </is>
      </c>
      <c r="AU6" t="inlineStr">
        <is>
          <t>001</t>
        </is>
      </c>
      <c r="AV6" t="inlineStr">
        <is>
          <t xml:space="preserve">   </t>
        </is>
      </c>
      <c r="AW6" t="inlineStr">
        <is>
          <t xml:space="preserve">   </t>
        </is>
      </c>
      <c r="AX6" t="inlineStr">
        <is>
          <t xml:space="preserve">   </t>
        </is>
      </c>
    </row>
    <row r="7">
      <c r="A7" t="n">
        <v>15471</v>
      </c>
      <c r="B7" t="n">
        <v>1</v>
      </c>
      <c r="C7" t="n">
        <v>790000</v>
      </c>
      <c r="D7" t="inlineStr">
        <is>
          <t>Special Offer</t>
        </is>
      </c>
      <c r="E7" t="n">
        <v>0</v>
      </c>
      <c r="F7" s="2" t="n">
        <v>46284</v>
      </c>
      <c r="G7" t="inlineStr">
        <is>
          <t>REIGN</t>
        </is>
      </c>
      <c r="H7" t="inlineStr">
        <is>
          <t>E815</t>
        </is>
      </c>
      <c r="I7" t="n">
        <v>0</v>
      </c>
      <c r="J7" t="n">
        <v>711712</v>
      </c>
      <c r="K7" t="n">
        <v>711712</v>
      </c>
      <c r="L7" t="n">
        <v>790000</v>
      </c>
      <c r="M7" t="n">
        <v>790000</v>
      </c>
      <c r="N7" t="inlineStr">
        <is>
          <t>FFO</t>
        </is>
      </c>
      <c r="O7" t="n">
        <v>15471</v>
      </c>
      <c r="P7" t="n">
        <v>2</v>
      </c>
      <c r="Q7" t="n">
        <v>2</v>
      </c>
      <c r="R7" t="inlineStr">
        <is>
          <t>006</t>
        </is>
      </c>
      <c r="S7" t="n">
        <v>1</v>
      </c>
      <c r="T7" t="n">
        <v>0</v>
      </c>
      <c r="U7" t="n">
        <v>100</v>
      </c>
      <c r="V7" t="inlineStr">
        <is>
          <t>E815</t>
        </is>
      </c>
      <c r="W7" t="n">
        <v>790000</v>
      </c>
      <c r="X7" t="n">
        <v>790000</v>
      </c>
      <c r="Y7" t="inlineStr">
        <is>
          <t>7093A</t>
        </is>
      </c>
      <c r="Z7" t="inlineStr">
        <is>
          <t>REIGN             002001         X</t>
        </is>
      </c>
      <c r="AB7" t="inlineStr">
        <is>
          <t>E815</t>
        </is>
      </c>
      <c r="AC7" t="inlineStr">
        <is>
          <t>E815</t>
        </is>
      </c>
      <c r="AD7" t="inlineStr">
        <is>
          <t xml:space="preserve">EB </t>
        </is>
      </c>
      <c r="AE7" t="inlineStr">
        <is>
          <t>LDS</t>
        </is>
      </c>
      <c r="AF7" t="inlineStr">
        <is>
          <t>SLG</t>
        </is>
      </c>
      <c r="AH7" t="inlineStr">
        <is>
          <t>EVERBEST LADIES LANYARD BEIGE FREE SIZE</t>
        </is>
      </c>
      <c r="AI7" t="inlineStr">
        <is>
          <t>15108</t>
        </is>
      </c>
      <c r="AJ7" t="inlineStr">
        <is>
          <t>AAGL0Z926163</t>
        </is>
      </c>
      <c r="AL7" t="inlineStr">
        <is>
          <t>ART</t>
        </is>
      </c>
      <c r="AM7" t="inlineStr">
        <is>
          <t xml:space="preserve">   </t>
        </is>
      </c>
      <c r="AO7" t="inlineStr">
        <is>
          <t>EVG</t>
        </is>
      </c>
      <c r="AP7" t="inlineStr"/>
      <c r="AQ7" t="inlineStr">
        <is>
          <t>8.5(L) x 12.4(H) cm</t>
        </is>
      </c>
      <c r="AR7" t="inlineStr"/>
      <c r="AS7" t="inlineStr">
        <is>
          <t>996902074596</t>
        </is>
      </c>
      <c r="AT7" t="inlineStr">
        <is>
          <t>002</t>
        </is>
      </c>
      <c r="AU7" t="inlineStr">
        <is>
          <t>001</t>
        </is>
      </c>
      <c r="AV7" t="inlineStr">
        <is>
          <t xml:space="preserve">   </t>
        </is>
      </c>
      <c r="AW7" t="inlineStr">
        <is>
          <t xml:space="preserve">   </t>
        </is>
      </c>
      <c r="AX7" t="inlineStr">
        <is>
          <t xml:space="preserve">   </t>
        </is>
      </c>
    </row>
    <row r="8">
      <c r="A8" t="n">
        <v>40279</v>
      </c>
      <c r="B8" t="n">
        <v>1</v>
      </c>
      <c r="C8" t="n">
        <v>1890000</v>
      </c>
      <c r="D8" t="inlineStr">
        <is>
          <t>Special Offer</t>
        </is>
      </c>
      <c r="E8" t="n">
        <v>0</v>
      </c>
      <c r="F8" s="2" t="n">
        <v>46284</v>
      </c>
      <c r="G8" t="inlineStr">
        <is>
          <t>GAVESHA</t>
        </is>
      </c>
      <c r="H8" t="inlineStr">
        <is>
          <t>E880</t>
        </is>
      </c>
      <c r="I8" t="n">
        <v>0</v>
      </c>
      <c r="J8" t="n">
        <v>1702703</v>
      </c>
      <c r="K8" t="n">
        <v>1702703</v>
      </c>
      <c r="L8" t="n">
        <v>1890000</v>
      </c>
      <c r="M8" t="n">
        <v>1890000</v>
      </c>
      <c r="N8" t="inlineStr">
        <is>
          <t>FFO</t>
        </is>
      </c>
      <c r="O8" t="n">
        <v>40279</v>
      </c>
      <c r="P8" t="n">
        <v>3</v>
      </c>
      <c r="Q8" t="n">
        <v>7</v>
      </c>
      <c r="R8" t="inlineStr">
        <is>
          <t>006</t>
        </is>
      </c>
      <c r="S8" t="n">
        <v>1</v>
      </c>
      <c r="T8" t="n">
        <v>0</v>
      </c>
      <c r="U8" t="n">
        <v>100</v>
      </c>
      <c r="V8" t="inlineStr">
        <is>
          <t>E880</t>
        </is>
      </c>
      <c r="W8" t="n">
        <v>1890000</v>
      </c>
      <c r="X8" t="n">
        <v>1890000</v>
      </c>
      <c r="Y8" t="inlineStr">
        <is>
          <t>7093B</t>
        </is>
      </c>
      <c r="Z8" t="inlineStr">
        <is>
          <t>GAVESHA           003001         X</t>
        </is>
      </c>
      <c r="AB8" t="inlineStr">
        <is>
          <t>E880</t>
        </is>
      </c>
      <c r="AC8" t="inlineStr">
        <is>
          <t>E880</t>
        </is>
      </c>
      <c r="AD8" t="inlineStr">
        <is>
          <t xml:space="preserve">EB </t>
        </is>
      </c>
      <c r="AE8" t="inlineStr">
        <is>
          <t>LDS</t>
        </is>
      </c>
      <c r="AF8" t="inlineStr">
        <is>
          <t>BAG</t>
        </is>
      </c>
      <c r="AH8" t="inlineStr">
        <is>
          <t>EVERBEST LADIES BAGS BLACK FREE SIZE</t>
        </is>
      </c>
      <c r="AI8" t="inlineStr">
        <is>
          <t>16265</t>
        </is>
      </c>
      <c r="AJ8" t="inlineStr">
        <is>
          <t>ADA5OI967570</t>
        </is>
      </c>
      <c r="AL8" t="inlineStr">
        <is>
          <t>ART</t>
        </is>
      </c>
      <c r="AM8" t="inlineStr">
        <is>
          <t xml:space="preserve">   </t>
        </is>
      </c>
      <c r="AO8" t="inlineStr">
        <is>
          <t>HBYY</t>
        </is>
      </c>
      <c r="AP8" t="inlineStr"/>
      <c r="AQ8" t="inlineStr"/>
      <c r="AR8" t="inlineStr"/>
      <c r="AS8" t="inlineStr">
        <is>
          <t>996902081883</t>
        </is>
      </c>
      <c r="AT8" t="inlineStr">
        <is>
          <t>003</t>
        </is>
      </c>
      <c r="AU8" t="inlineStr">
        <is>
          <t>001</t>
        </is>
      </c>
      <c r="AV8" t="inlineStr">
        <is>
          <t xml:space="preserve">   </t>
        </is>
      </c>
      <c r="AW8" t="inlineStr">
        <is>
          <t xml:space="preserve">   </t>
        </is>
      </c>
      <c r="AX8" t="inlineStr">
        <is>
          <t xml:space="preserve">   </t>
        </is>
      </c>
    </row>
    <row r="9">
      <c r="A9" t="n">
        <v>40283</v>
      </c>
      <c r="B9" t="n">
        <v>1</v>
      </c>
      <c r="C9" t="n">
        <v>1890000</v>
      </c>
      <c r="D9" t="inlineStr">
        <is>
          <t>Special Offer</t>
        </is>
      </c>
      <c r="E9" t="n">
        <v>0</v>
      </c>
      <c r="F9" s="2" t="n">
        <v>46284</v>
      </c>
      <c r="G9" t="inlineStr">
        <is>
          <t>GAVESHA</t>
        </is>
      </c>
      <c r="H9" t="inlineStr">
        <is>
          <t>E880</t>
        </is>
      </c>
      <c r="I9" t="n">
        <v>0</v>
      </c>
      <c r="J9" t="n">
        <v>1702703</v>
      </c>
      <c r="K9" t="n">
        <v>1702703</v>
      </c>
      <c r="L9" t="n">
        <v>1890000</v>
      </c>
      <c r="M9" t="n">
        <v>1890000</v>
      </c>
      <c r="N9" t="inlineStr">
        <is>
          <t>FFO</t>
        </is>
      </c>
      <c r="O9" t="n">
        <v>40283</v>
      </c>
      <c r="P9" t="n">
        <v>3</v>
      </c>
      <c r="Q9" t="n">
        <v>3</v>
      </c>
      <c r="R9" t="inlineStr">
        <is>
          <t>006</t>
        </is>
      </c>
      <c r="S9" t="n">
        <v>1</v>
      </c>
      <c r="T9" t="n">
        <v>0</v>
      </c>
      <c r="U9" t="n">
        <v>100</v>
      </c>
      <c r="V9" t="inlineStr">
        <is>
          <t>E880</t>
        </is>
      </c>
      <c r="W9" t="n">
        <v>1890000</v>
      </c>
      <c r="X9" t="n">
        <v>1890000</v>
      </c>
      <c r="Y9" t="inlineStr">
        <is>
          <t>7093B</t>
        </is>
      </c>
      <c r="Z9" t="inlineStr">
        <is>
          <t>GAVESHA           001001         X</t>
        </is>
      </c>
      <c r="AB9" t="inlineStr">
        <is>
          <t>E880</t>
        </is>
      </c>
      <c r="AC9" t="inlineStr">
        <is>
          <t>E880</t>
        </is>
      </c>
      <c r="AD9" t="inlineStr">
        <is>
          <t xml:space="preserve">EB </t>
        </is>
      </c>
      <c r="AE9" t="inlineStr">
        <is>
          <t>LDS</t>
        </is>
      </c>
      <c r="AF9" t="inlineStr">
        <is>
          <t>BAG</t>
        </is>
      </c>
      <c r="AH9" t="inlineStr">
        <is>
          <t>EVERBEST LADIES BAGS ALMOND FREE SIZE</t>
        </is>
      </c>
      <c r="AI9" t="inlineStr">
        <is>
          <t>16676</t>
        </is>
      </c>
      <c r="AJ9" t="inlineStr">
        <is>
          <t>Q8MGA6967591</t>
        </is>
      </c>
      <c r="AL9" t="inlineStr">
        <is>
          <t>ART</t>
        </is>
      </c>
      <c r="AM9" t="inlineStr">
        <is>
          <t xml:space="preserve">   </t>
        </is>
      </c>
      <c r="AO9" t="inlineStr">
        <is>
          <t>HBYY</t>
        </is>
      </c>
      <c r="AP9" t="inlineStr"/>
      <c r="AQ9" t="inlineStr"/>
      <c r="AR9" t="inlineStr"/>
      <c r="AS9" t="inlineStr">
        <is>
          <t>996902081884</t>
        </is>
      </c>
      <c r="AT9" t="inlineStr">
        <is>
          <t>001</t>
        </is>
      </c>
      <c r="AU9" t="inlineStr">
        <is>
          <t>001</t>
        </is>
      </c>
      <c r="AV9" t="inlineStr">
        <is>
          <t xml:space="preserve">   </t>
        </is>
      </c>
      <c r="AW9" t="inlineStr">
        <is>
          <t xml:space="preserve">   </t>
        </is>
      </c>
      <c r="AX9" t="inlineStr">
        <is>
          <t xml:space="preserve">   </t>
        </is>
      </c>
    </row>
    <row r="10">
      <c r="A10" t="n">
        <v>2444</v>
      </c>
      <c r="B10" t="n">
        <v>1</v>
      </c>
      <c r="C10" t="n">
        <v>1890000</v>
      </c>
      <c r="D10" t="inlineStr">
        <is>
          <t>Special Offer</t>
        </is>
      </c>
      <c r="E10" t="n">
        <v>0</v>
      </c>
      <c r="F10" s="2" t="n">
        <v>46284</v>
      </c>
      <c r="G10" t="inlineStr">
        <is>
          <t>GAVESHA</t>
        </is>
      </c>
      <c r="H10" t="inlineStr">
        <is>
          <t>E425</t>
        </is>
      </c>
      <c r="I10" t="n">
        <v>0</v>
      </c>
      <c r="J10" t="n">
        <v>1702703</v>
      </c>
      <c r="K10" t="n">
        <v>1702703</v>
      </c>
      <c r="L10" t="n">
        <v>1890000</v>
      </c>
      <c r="M10" t="n">
        <v>1890000</v>
      </c>
      <c r="N10" t="inlineStr">
        <is>
          <t>FFO</t>
        </is>
      </c>
      <c r="O10" t="n">
        <v>2444</v>
      </c>
      <c r="P10" t="n">
        <v>3</v>
      </c>
      <c r="Q10" t="n">
        <v>3</v>
      </c>
      <c r="R10" t="inlineStr">
        <is>
          <t>006</t>
        </is>
      </c>
      <c r="S10" t="n">
        <v>1</v>
      </c>
      <c r="T10" t="n">
        <v>0</v>
      </c>
      <c r="U10" t="n">
        <v>100</v>
      </c>
      <c r="V10" t="inlineStr">
        <is>
          <t>E425</t>
        </is>
      </c>
      <c r="W10" t="n">
        <v>1890000</v>
      </c>
      <c r="X10" t="n">
        <v>1890000</v>
      </c>
      <c r="Y10" t="inlineStr">
        <is>
          <t>7093B</t>
        </is>
      </c>
      <c r="Z10" t="inlineStr">
        <is>
          <t>GAVESHA           003001         X</t>
        </is>
      </c>
      <c r="AB10" t="inlineStr">
        <is>
          <t>E425</t>
        </is>
      </c>
      <c r="AC10" t="inlineStr">
        <is>
          <t>E425</t>
        </is>
      </c>
      <c r="AD10" t="inlineStr">
        <is>
          <t xml:space="preserve">EB </t>
        </is>
      </c>
      <c r="AE10" t="inlineStr">
        <is>
          <t>LDS</t>
        </is>
      </c>
      <c r="AF10" t="inlineStr">
        <is>
          <t>BAG</t>
        </is>
      </c>
      <c r="AH10" t="inlineStr">
        <is>
          <t>EVERBEST LADIES BAGS BLACK FREE SIZE</t>
        </is>
      </c>
      <c r="AI10" t="inlineStr">
        <is>
          <t>15432</t>
        </is>
      </c>
      <c r="AJ10" t="inlineStr">
        <is>
          <t>88EKW0967649</t>
        </is>
      </c>
      <c r="AL10" t="inlineStr">
        <is>
          <t>ART</t>
        </is>
      </c>
      <c r="AM10" t="inlineStr">
        <is>
          <t xml:space="preserve">   </t>
        </is>
      </c>
      <c r="AO10" t="inlineStr">
        <is>
          <t>HBYY</t>
        </is>
      </c>
      <c r="AP10" t="inlineStr"/>
      <c r="AQ10" t="inlineStr"/>
      <c r="AR10" t="inlineStr"/>
      <c r="AS10" t="inlineStr">
        <is>
          <t>996902081883</t>
        </is>
      </c>
      <c r="AT10" t="inlineStr">
        <is>
          <t>003</t>
        </is>
      </c>
      <c r="AU10" t="inlineStr">
        <is>
          <t>001</t>
        </is>
      </c>
      <c r="AV10" t="inlineStr">
        <is>
          <t xml:space="preserve">   </t>
        </is>
      </c>
      <c r="AW10" t="inlineStr">
        <is>
          <t xml:space="preserve">   </t>
        </is>
      </c>
      <c r="AX10" t="inlineStr">
        <is>
          <t xml:space="preserve">   </t>
        </is>
      </c>
    </row>
    <row r="11">
      <c r="A11" t="n">
        <v>35643</v>
      </c>
      <c r="B11" t="n">
        <v>1</v>
      </c>
      <c r="C11" t="n">
        <v>1890000</v>
      </c>
      <c r="D11" t="inlineStr">
        <is>
          <t>Special Offer</t>
        </is>
      </c>
      <c r="E11" t="n">
        <v>0</v>
      </c>
      <c r="F11" s="2" t="n">
        <v>46284</v>
      </c>
      <c r="G11" t="inlineStr">
        <is>
          <t>GAVESHA</t>
        </is>
      </c>
      <c r="H11" t="inlineStr">
        <is>
          <t>E450</t>
        </is>
      </c>
      <c r="I11" t="n">
        <v>0</v>
      </c>
      <c r="J11" t="n">
        <v>1702703</v>
      </c>
      <c r="K11" t="n">
        <v>1702703</v>
      </c>
      <c r="L11" t="n">
        <v>1890000</v>
      </c>
      <c r="M11" t="n">
        <v>1890000</v>
      </c>
      <c r="N11" t="inlineStr">
        <is>
          <t>FFO</t>
        </is>
      </c>
      <c r="O11" t="n">
        <v>35643</v>
      </c>
      <c r="P11" t="n">
        <v>5</v>
      </c>
      <c r="Q11" t="n">
        <v>10</v>
      </c>
      <c r="R11" t="inlineStr">
        <is>
          <t>006</t>
        </is>
      </c>
      <c r="S11" t="n">
        <v>1</v>
      </c>
      <c r="T11" t="n">
        <v>0</v>
      </c>
      <c r="U11" t="n">
        <v>100</v>
      </c>
      <c r="V11" t="inlineStr">
        <is>
          <t>E450</t>
        </is>
      </c>
      <c r="W11" t="n">
        <v>1890000</v>
      </c>
      <c r="X11" t="n">
        <v>1890000</v>
      </c>
      <c r="Y11" t="inlineStr">
        <is>
          <t>7093B</t>
        </is>
      </c>
      <c r="Z11" t="inlineStr">
        <is>
          <t>GAVESHA           001001         X</t>
        </is>
      </c>
      <c r="AB11" t="inlineStr">
        <is>
          <t>E450</t>
        </is>
      </c>
      <c r="AC11" t="inlineStr">
        <is>
          <t>E450</t>
        </is>
      </c>
      <c r="AD11" t="inlineStr">
        <is>
          <t xml:space="preserve">EB </t>
        </is>
      </c>
      <c r="AE11" t="inlineStr">
        <is>
          <t>LDS</t>
        </is>
      </c>
      <c r="AF11" t="inlineStr">
        <is>
          <t>BAG</t>
        </is>
      </c>
      <c r="AH11" t="inlineStr">
        <is>
          <t>EVERBEST LADIES BAGS ALMOND FREE SIZE</t>
        </is>
      </c>
      <c r="AI11" t="inlineStr">
        <is>
          <t>15777</t>
        </is>
      </c>
      <c r="AJ11" t="inlineStr">
        <is>
          <t>YFN0WD324862</t>
        </is>
      </c>
      <c r="AL11" t="inlineStr">
        <is>
          <t>ART</t>
        </is>
      </c>
      <c r="AM11" t="inlineStr">
        <is>
          <t xml:space="preserve">   </t>
        </is>
      </c>
      <c r="AO11" t="inlineStr">
        <is>
          <t>HBYY</t>
        </is>
      </c>
      <c r="AP11" t="inlineStr"/>
      <c r="AQ11" t="inlineStr"/>
      <c r="AR11" t="inlineStr"/>
      <c r="AS11" t="inlineStr">
        <is>
          <t>996902081884</t>
        </is>
      </c>
      <c r="AT11" t="inlineStr">
        <is>
          <t>001</t>
        </is>
      </c>
      <c r="AU11" t="inlineStr">
        <is>
          <t>001</t>
        </is>
      </c>
      <c r="AV11" t="inlineStr">
        <is>
          <t xml:space="preserve">   </t>
        </is>
      </c>
      <c r="AW11" t="inlineStr">
        <is>
          <t xml:space="preserve">   </t>
        </is>
      </c>
      <c r="AX11" t="inlineStr">
        <is>
          <t xml:space="preserve">   </t>
        </is>
      </c>
    </row>
    <row r="12">
      <c r="A12" t="n">
        <v>3647</v>
      </c>
      <c r="B12" t="n">
        <v>1</v>
      </c>
      <c r="C12" t="n">
        <v>790000</v>
      </c>
      <c r="D12" t="inlineStr">
        <is>
          <t>Special Offer</t>
        </is>
      </c>
      <c r="E12" t="n">
        <v>0</v>
      </c>
      <c r="F12" s="2" t="n">
        <v>46284</v>
      </c>
      <c r="G12" t="inlineStr">
        <is>
          <t>REIGN</t>
        </is>
      </c>
      <c r="H12" t="inlineStr">
        <is>
          <t>E640</t>
        </is>
      </c>
      <c r="I12" t="n">
        <v>0</v>
      </c>
      <c r="J12" t="n">
        <v>711712</v>
      </c>
      <c r="K12" t="n">
        <v>711712</v>
      </c>
      <c r="L12" t="n">
        <v>790000</v>
      </c>
      <c r="M12" t="n">
        <v>790000</v>
      </c>
      <c r="N12" t="inlineStr">
        <is>
          <t>FFO</t>
        </is>
      </c>
      <c r="O12" t="n">
        <v>3647</v>
      </c>
      <c r="P12" t="n">
        <v>2</v>
      </c>
      <c r="Q12" t="n">
        <v>2</v>
      </c>
      <c r="R12" t="inlineStr">
        <is>
          <t>006</t>
        </is>
      </c>
      <c r="S12" t="n">
        <v>1</v>
      </c>
      <c r="T12" t="n">
        <v>0</v>
      </c>
      <c r="U12" t="n">
        <v>100</v>
      </c>
      <c r="V12" t="inlineStr">
        <is>
          <t>E640</t>
        </is>
      </c>
      <c r="W12" t="n">
        <v>790000</v>
      </c>
      <c r="X12" t="n">
        <v>790000</v>
      </c>
      <c r="Y12" t="inlineStr">
        <is>
          <t>7093A</t>
        </is>
      </c>
      <c r="Z12" t="inlineStr">
        <is>
          <t>REIGN             003001         X</t>
        </is>
      </c>
      <c r="AB12" t="inlineStr">
        <is>
          <t>E640</t>
        </is>
      </c>
      <c r="AC12" t="inlineStr">
        <is>
          <t>E640</t>
        </is>
      </c>
      <c r="AD12" t="inlineStr">
        <is>
          <t xml:space="preserve">EB </t>
        </is>
      </c>
      <c r="AE12" t="inlineStr">
        <is>
          <t>LDS</t>
        </is>
      </c>
      <c r="AF12" t="inlineStr">
        <is>
          <t>SLG</t>
        </is>
      </c>
      <c r="AH12" t="inlineStr">
        <is>
          <t>EVERBEST LADIES LANYARD BLACK FREE SIZE</t>
        </is>
      </c>
      <c r="AI12" t="inlineStr">
        <is>
          <t>15588</t>
        </is>
      </c>
      <c r="AJ12" t="inlineStr">
        <is>
          <t>DTDIIK354152</t>
        </is>
      </c>
      <c r="AL12" t="inlineStr">
        <is>
          <t>ART</t>
        </is>
      </c>
      <c r="AM12" t="inlineStr">
        <is>
          <t xml:space="preserve">   </t>
        </is>
      </c>
      <c r="AO12" t="inlineStr">
        <is>
          <t>EVG</t>
        </is>
      </c>
      <c r="AP12" t="inlineStr"/>
      <c r="AQ12" t="inlineStr">
        <is>
          <t>8.5(L) x 12.4(H) cm</t>
        </is>
      </c>
      <c r="AR12" t="inlineStr"/>
      <c r="AS12" t="inlineStr">
        <is>
          <t>996902074255</t>
        </is>
      </c>
      <c r="AT12" t="inlineStr">
        <is>
          <t>003</t>
        </is>
      </c>
      <c r="AU12" t="inlineStr">
        <is>
          <t>001</t>
        </is>
      </c>
      <c r="AV12" t="inlineStr">
        <is>
          <t xml:space="preserve">   </t>
        </is>
      </c>
      <c r="AW12" t="inlineStr">
        <is>
          <t xml:space="preserve">   </t>
        </is>
      </c>
      <c r="AX12" t="inlineStr">
        <is>
          <t xml:space="preserve">   </t>
        </is>
      </c>
    </row>
    <row r="13">
      <c r="A13" t="n">
        <v>3649</v>
      </c>
      <c r="B13" t="n">
        <v>1</v>
      </c>
      <c r="C13" t="n">
        <v>790000</v>
      </c>
      <c r="D13" t="inlineStr">
        <is>
          <t>Special Offer</t>
        </is>
      </c>
      <c r="E13" t="n">
        <v>0</v>
      </c>
      <c r="F13" s="2" t="n">
        <v>46284</v>
      </c>
      <c r="G13" t="inlineStr">
        <is>
          <t>REIGN</t>
        </is>
      </c>
      <c r="H13" t="inlineStr">
        <is>
          <t>E640</t>
        </is>
      </c>
      <c r="I13" t="n">
        <v>0</v>
      </c>
      <c r="J13" t="n">
        <v>711712</v>
      </c>
      <c r="K13" t="n">
        <v>711712</v>
      </c>
      <c r="L13" t="n">
        <v>790000</v>
      </c>
      <c r="M13" t="n">
        <v>790000</v>
      </c>
      <c r="N13" t="inlineStr">
        <is>
          <t>FFO</t>
        </is>
      </c>
      <c r="O13" t="n">
        <v>3649</v>
      </c>
      <c r="P13" t="n">
        <v>2</v>
      </c>
      <c r="Q13" t="n">
        <v>2</v>
      </c>
      <c r="R13" t="inlineStr">
        <is>
          <t>006</t>
        </is>
      </c>
      <c r="S13" t="n">
        <v>1</v>
      </c>
      <c r="T13" t="n">
        <v>0</v>
      </c>
      <c r="U13" t="n">
        <v>100</v>
      </c>
      <c r="V13" t="inlineStr">
        <is>
          <t>E640</t>
        </is>
      </c>
      <c r="W13" t="n">
        <v>790000</v>
      </c>
      <c r="X13" t="n">
        <v>790000</v>
      </c>
      <c r="Y13" t="inlineStr">
        <is>
          <t>7093A</t>
        </is>
      </c>
      <c r="Z13" t="inlineStr">
        <is>
          <t>REIGN             001001         X</t>
        </is>
      </c>
      <c r="AB13" t="inlineStr">
        <is>
          <t>E640</t>
        </is>
      </c>
      <c r="AC13" t="inlineStr">
        <is>
          <t>E640</t>
        </is>
      </c>
      <c r="AD13" t="inlineStr">
        <is>
          <t xml:space="preserve">EB </t>
        </is>
      </c>
      <c r="AE13" t="inlineStr">
        <is>
          <t>LDS</t>
        </is>
      </c>
      <c r="AF13" t="inlineStr">
        <is>
          <t>SLG</t>
        </is>
      </c>
      <c r="AH13" t="inlineStr">
        <is>
          <t>EVERBEST LADIES LANYARD ALMOND FREE SIZE</t>
        </is>
      </c>
      <c r="AI13" t="inlineStr">
        <is>
          <t>17254</t>
        </is>
      </c>
      <c r="AJ13" t="inlineStr">
        <is>
          <t>63MYOX899931</t>
        </is>
      </c>
      <c r="AL13" t="inlineStr">
        <is>
          <t>ART</t>
        </is>
      </c>
      <c r="AM13" t="inlineStr">
        <is>
          <t xml:space="preserve">   </t>
        </is>
      </c>
      <c r="AO13" t="inlineStr">
        <is>
          <t>EVG</t>
        </is>
      </c>
      <c r="AP13" t="inlineStr"/>
      <c r="AQ13" t="inlineStr">
        <is>
          <t>8.5(L) x 12.4(H) cm</t>
        </is>
      </c>
      <c r="AR13" t="inlineStr"/>
      <c r="AS13" t="inlineStr">
        <is>
          <t>996902074595</t>
        </is>
      </c>
      <c r="AT13" t="inlineStr">
        <is>
          <t>001</t>
        </is>
      </c>
      <c r="AU13" t="inlineStr">
        <is>
          <t>001</t>
        </is>
      </c>
      <c r="AV13" t="inlineStr">
        <is>
          <t xml:space="preserve">   </t>
        </is>
      </c>
      <c r="AW13" t="inlineStr">
        <is>
          <t xml:space="preserve">   </t>
        </is>
      </c>
      <c r="AX13" t="inlineStr">
        <is>
          <t xml:space="preserve">   </t>
        </is>
      </c>
    </row>
    <row r="14">
      <c r="A14" t="n">
        <v>42956</v>
      </c>
      <c r="B14" t="n">
        <v>1</v>
      </c>
      <c r="C14" t="n">
        <v>1890000</v>
      </c>
      <c r="D14" t="inlineStr">
        <is>
          <t>Special Offer</t>
        </is>
      </c>
      <c r="E14" t="n">
        <v>0</v>
      </c>
      <c r="F14" s="2" t="n">
        <v>46284</v>
      </c>
      <c r="G14" t="inlineStr">
        <is>
          <t>GAVESHA</t>
        </is>
      </c>
      <c r="H14" t="inlineStr">
        <is>
          <t>E460</t>
        </is>
      </c>
      <c r="I14" t="n">
        <v>0</v>
      </c>
      <c r="J14" t="n">
        <v>1702703</v>
      </c>
      <c r="K14" t="n">
        <v>1702703</v>
      </c>
      <c r="L14" t="n">
        <v>1890000</v>
      </c>
      <c r="M14" t="n">
        <v>1890000</v>
      </c>
      <c r="N14" t="inlineStr">
        <is>
          <t>FFO</t>
        </is>
      </c>
      <c r="O14" t="n">
        <v>42956</v>
      </c>
      <c r="P14" t="n">
        <v>2</v>
      </c>
      <c r="Q14" t="n">
        <v>2</v>
      </c>
      <c r="R14" t="inlineStr">
        <is>
          <t>006</t>
        </is>
      </c>
      <c r="S14" t="n">
        <v>1</v>
      </c>
      <c r="T14" t="n">
        <v>0</v>
      </c>
      <c r="U14" t="n">
        <v>100</v>
      </c>
      <c r="V14" t="inlineStr">
        <is>
          <t>E460</t>
        </is>
      </c>
      <c r="W14" t="n">
        <v>1890000</v>
      </c>
      <c r="X14" t="n">
        <v>1890000</v>
      </c>
      <c r="Y14" t="inlineStr">
        <is>
          <t>7093B</t>
        </is>
      </c>
      <c r="Z14" t="inlineStr">
        <is>
          <t>GAVESHA           003001         X</t>
        </is>
      </c>
      <c r="AB14" t="inlineStr">
        <is>
          <t>E460</t>
        </is>
      </c>
      <c r="AC14" t="inlineStr">
        <is>
          <t>E460</t>
        </is>
      </c>
      <c r="AD14" t="inlineStr">
        <is>
          <t xml:space="preserve">EB </t>
        </is>
      </c>
      <c r="AE14" t="inlineStr">
        <is>
          <t>LDS</t>
        </is>
      </c>
      <c r="AF14" t="inlineStr">
        <is>
          <t>BAG</t>
        </is>
      </c>
      <c r="AH14" t="inlineStr">
        <is>
          <t>EVERBEST LADIES BAGS BLACK FREE SIZE</t>
        </is>
      </c>
      <c r="AI14" t="inlineStr">
        <is>
          <t>15873</t>
        </is>
      </c>
      <c r="AJ14" t="inlineStr">
        <is>
          <t>6YZ1AM943589</t>
        </is>
      </c>
      <c r="AL14" t="inlineStr">
        <is>
          <t>ART</t>
        </is>
      </c>
      <c r="AM14" t="inlineStr">
        <is>
          <t xml:space="preserve">   </t>
        </is>
      </c>
      <c r="AO14" t="inlineStr">
        <is>
          <t>HBYY</t>
        </is>
      </c>
      <c r="AP14" t="inlineStr"/>
      <c r="AQ14" t="inlineStr"/>
      <c r="AR14" t="inlineStr"/>
      <c r="AS14" t="inlineStr">
        <is>
          <t>996902081883</t>
        </is>
      </c>
      <c r="AT14" t="inlineStr">
        <is>
          <t>003</t>
        </is>
      </c>
      <c r="AU14" t="inlineStr">
        <is>
          <t>001</t>
        </is>
      </c>
      <c r="AV14" t="inlineStr">
        <is>
          <t xml:space="preserve">   </t>
        </is>
      </c>
      <c r="AW14" t="inlineStr">
        <is>
          <t xml:space="preserve">   </t>
        </is>
      </c>
      <c r="AX14" t="inlineStr">
        <is>
          <t xml:space="preserve">   </t>
        </is>
      </c>
    </row>
    <row r="15">
      <c r="A15" t="n">
        <v>49782</v>
      </c>
      <c r="B15" t="n">
        <v>1</v>
      </c>
      <c r="C15" t="n">
        <v>1890000</v>
      </c>
      <c r="D15" t="inlineStr">
        <is>
          <t>Special Offer</t>
        </is>
      </c>
      <c r="E15" t="n">
        <v>0</v>
      </c>
      <c r="F15" s="2" t="n">
        <v>46284</v>
      </c>
      <c r="G15" t="inlineStr">
        <is>
          <t>GAVESHA</t>
        </is>
      </c>
      <c r="H15" t="inlineStr">
        <is>
          <t>E850</t>
        </is>
      </c>
      <c r="I15" t="n">
        <v>0</v>
      </c>
      <c r="J15" t="n">
        <v>1702703</v>
      </c>
      <c r="K15" t="n">
        <v>1702703</v>
      </c>
      <c r="L15" t="n">
        <v>1890000</v>
      </c>
      <c r="M15" t="n">
        <v>1890000</v>
      </c>
      <c r="N15" t="inlineStr">
        <is>
          <t>FFO</t>
        </is>
      </c>
      <c r="O15" t="n">
        <v>49782</v>
      </c>
      <c r="P15" t="n">
        <v>3</v>
      </c>
      <c r="Q15" t="n">
        <v>3</v>
      </c>
      <c r="R15" t="inlineStr">
        <is>
          <t>006</t>
        </is>
      </c>
      <c r="S15" t="n">
        <v>1</v>
      </c>
      <c r="T15" t="n">
        <v>0</v>
      </c>
      <c r="U15" t="n">
        <v>100</v>
      </c>
      <c r="V15" t="inlineStr">
        <is>
          <t>E850</t>
        </is>
      </c>
      <c r="W15" t="n">
        <v>1890000</v>
      </c>
      <c r="X15" t="n">
        <v>1890000</v>
      </c>
      <c r="Y15" t="inlineStr">
        <is>
          <t>7093B</t>
        </is>
      </c>
      <c r="Z15" t="inlineStr">
        <is>
          <t>GAVESHA           001001         X</t>
        </is>
      </c>
      <c r="AB15" t="inlineStr">
        <is>
          <t>E850</t>
        </is>
      </c>
      <c r="AC15" t="inlineStr">
        <is>
          <t>E850</t>
        </is>
      </c>
      <c r="AD15" t="inlineStr">
        <is>
          <t xml:space="preserve">EB </t>
        </is>
      </c>
      <c r="AE15" t="inlineStr">
        <is>
          <t>LDS</t>
        </is>
      </c>
      <c r="AF15" t="inlineStr">
        <is>
          <t>BAG</t>
        </is>
      </c>
      <c r="AH15" t="inlineStr">
        <is>
          <t>EVERBEST LADIES BAGS ALMOND FREE SIZE</t>
        </is>
      </c>
      <c r="AI15" t="inlineStr">
        <is>
          <t>16696</t>
        </is>
      </c>
      <c r="AJ15" t="inlineStr">
        <is>
          <t>DBYBS1499322</t>
        </is>
      </c>
      <c r="AL15" t="inlineStr">
        <is>
          <t>ART</t>
        </is>
      </c>
      <c r="AM15" t="inlineStr">
        <is>
          <t xml:space="preserve">   </t>
        </is>
      </c>
      <c r="AO15" t="inlineStr">
        <is>
          <t>HBYY</t>
        </is>
      </c>
      <c r="AP15" t="inlineStr"/>
      <c r="AQ15" t="inlineStr"/>
      <c r="AR15" t="inlineStr"/>
      <c r="AS15" t="inlineStr">
        <is>
          <t>996902081884</t>
        </is>
      </c>
      <c r="AT15" t="inlineStr">
        <is>
          <t>001</t>
        </is>
      </c>
      <c r="AU15" t="inlineStr">
        <is>
          <t>001</t>
        </is>
      </c>
      <c r="AV15" t="inlineStr">
        <is>
          <t xml:space="preserve">   </t>
        </is>
      </c>
      <c r="AW15" t="inlineStr">
        <is>
          <t xml:space="preserve">   </t>
        </is>
      </c>
      <c r="AX15" t="inlineStr">
        <is>
          <t xml:space="preserve">   </t>
        </is>
      </c>
    </row>
    <row r="16">
      <c r="A16" t="n">
        <v>5682</v>
      </c>
      <c r="B16" t="n">
        <v>1</v>
      </c>
      <c r="C16" t="n">
        <v>790000</v>
      </c>
      <c r="D16" t="inlineStr">
        <is>
          <t>Special Offer</t>
        </is>
      </c>
      <c r="E16" t="n">
        <v>0</v>
      </c>
      <c r="F16" s="2" t="n">
        <v>46284</v>
      </c>
      <c r="G16" t="inlineStr">
        <is>
          <t>REIGN</t>
        </is>
      </c>
      <c r="H16" t="inlineStr">
        <is>
          <t>E942</t>
        </is>
      </c>
      <c r="I16" t="n">
        <v>0</v>
      </c>
      <c r="J16" t="n">
        <v>711712</v>
      </c>
      <c r="K16" t="n">
        <v>711712</v>
      </c>
      <c r="L16" t="n">
        <v>790000</v>
      </c>
      <c r="M16" t="n">
        <v>790000</v>
      </c>
      <c r="N16" t="inlineStr">
        <is>
          <t>FFO</t>
        </is>
      </c>
      <c r="O16" t="n">
        <v>5682</v>
      </c>
      <c r="P16" t="n">
        <v>2</v>
      </c>
      <c r="Q16" t="n">
        <v>2</v>
      </c>
      <c r="R16" t="inlineStr">
        <is>
          <t>006</t>
        </is>
      </c>
      <c r="S16" t="n">
        <v>1</v>
      </c>
      <c r="T16" t="n">
        <v>0</v>
      </c>
      <c r="U16" t="n">
        <v>100</v>
      </c>
      <c r="V16" t="inlineStr">
        <is>
          <t>E942</t>
        </is>
      </c>
      <c r="W16" t="n">
        <v>790000</v>
      </c>
      <c r="X16" t="n">
        <v>790000</v>
      </c>
      <c r="Y16" t="inlineStr">
        <is>
          <t>7093A</t>
        </is>
      </c>
      <c r="Z16" t="inlineStr">
        <is>
          <t>REIGN             002001         X</t>
        </is>
      </c>
      <c r="AB16" t="inlineStr">
        <is>
          <t>E942</t>
        </is>
      </c>
      <c r="AC16" t="inlineStr">
        <is>
          <t>E942</t>
        </is>
      </c>
      <c r="AD16" t="inlineStr">
        <is>
          <t xml:space="preserve">EB </t>
        </is>
      </c>
      <c r="AE16" t="inlineStr">
        <is>
          <t>LDS</t>
        </is>
      </c>
      <c r="AF16" t="inlineStr">
        <is>
          <t>SLG</t>
        </is>
      </c>
      <c r="AH16" t="inlineStr">
        <is>
          <t>EVERBEST LADIES LANYARD BEIGE FREE SIZE</t>
        </is>
      </c>
      <c r="AI16" t="inlineStr">
        <is>
          <t>17141</t>
        </is>
      </c>
      <c r="AJ16" t="inlineStr">
        <is>
          <t>RSAQK6920618</t>
        </is>
      </c>
      <c r="AL16" t="inlineStr">
        <is>
          <t>ART</t>
        </is>
      </c>
      <c r="AM16" t="inlineStr">
        <is>
          <t xml:space="preserve">   </t>
        </is>
      </c>
      <c r="AO16" t="inlineStr">
        <is>
          <t>EVG</t>
        </is>
      </c>
      <c r="AP16" t="inlineStr"/>
      <c r="AQ16" t="inlineStr">
        <is>
          <t>8.5(L) x 12.4(H) cm</t>
        </is>
      </c>
      <c r="AR16" t="inlineStr"/>
      <c r="AS16" t="inlineStr">
        <is>
          <t>996902074596</t>
        </is>
      </c>
      <c r="AT16" t="inlineStr">
        <is>
          <t>002</t>
        </is>
      </c>
      <c r="AU16" t="inlineStr">
        <is>
          <t>001</t>
        </is>
      </c>
      <c r="AV16" t="inlineStr">
        <is>
          <t xml:space="preserve">   </t>
        </is>
      </c>
      <c r="AW16" t="inlineStr">
        <is>
          <t xml:space="preserve">   </t>
        </is>
      </c>
      <c r="AX16" t="inlineStr">
        <is>
          <t xml:space="preserve">   </t>
        </is>
      </c>
    </row>
    <row r="17">
      <c r="A17" t="n">
        <v>5684</v>
      </c>
      <c r="B17" t="n">
        <v>1</v>
      </c>
      <c r="C17" t="n">
        <v>790000</v>
      </c>
      <c r="D17" t="inlineStr">
        <is>
          <t>Special Offer</t>
        </is>
      </c>
      <c r="E17" t="n">
        <v>0</v>
      </c>
      <c r="F17" s="2" t="n">
        <v>46284</v>
      </c>
      <c r="G17" t="inlineStr">
        <is>
          <t>REIGN</t>
        </is>
      </c>
      <c r="H17" t="inlineStr">
        <is>
          <t>E942</t>
        </is>
      </c>
      <c r="I17" t="n">
        <v>0</v>
      </c>
      <c r="J17" t="n">
        <v>711712</v>
      </c>
      <c r="K17" t="n">
        <v>711712</v>
      </c>
      <c r="L17" t="n">
        <v>790000</v>
      </c>
      <c r="M17" t="n">
        <v>790000</v>
      </c>
      <c r="N17" t="inlineStr">
        <is>
          <t>FFO</t>
        </is>
      </c>
      <c r="O17" t="n">
        <v>5684</v>
      </c>
      <c r="P17" t="n">
        <v>4</v>
      </c>
      <c r="Q17" t="n">
        <v>7</v>
      </c>
      <c r="R17" t="inlineStr">
        <is>
          <t>006</t>
        </is>
      </c>
      <c r="S17" t="n">
        <v>1</v>
      </c>
      <c r="T17" t="n">
        <v>0</v>
      </c>
      <c r="U17" t="n">
        <v>100</v>
      </c>
      <c r="V17" t="inlineStr">
        <is>
          <t>E942</t>
        </is>
      </c>
      <c r="W17" t="n">
        <v>790000</v>
      </c>
      <c r="X17" t="n">
        <v>790000</v>
      </c>
      <c r="Y17" t="inlineStr">
        <is>
          <t>7093A</t>
        </is>
      </c>
      <c r="Z17" t="inlineStr">
        <is>
          <t>REIGN             002001         X</t>
        </is>
      </c>
      <c r="AB17" t="inlineStr">
        <is>
          <t>E942</t>
        </is>
      </c>
      <c r="AC17" t="inlineStr">
        <is>
          <t>E942</t>
        </is>
      </c>
      <c r="AD17" t="inlineStr">
        <is>
          <t xml:space="preserve">EB </t>
        </is>
      </c>
      <c r="AE17" t="inlineStr">
        <is>
          <t>LDS</t>
        </is>
      </c>
      <c r="AF17" t="inlineStr">
        <is>
          <t>SLG</t>
        </is>
      </c>
      <c r="AH17" t="inlineStr">
        <is>
          <t>EVERBEST LADIES LANYARD BEIGE FREE SIZE</t>
        </is>
      </c>
      <c r="AI17" t="inlineStr">
        <is>
          <t>15205</t>
        </is>
      </c>
      <c r="AJ17" t="inlineStr">
        <is>
          <t>RPWEHB967666</t>
        </is>
      </c>
      <c r="AL17" t="inlineStr">
        <is>
          <t>ART</t>
        </is>
      </c>
      <c r="AM17" t="inlineStr">
        <is>
          <t xml:space="preserve">   </t>
        </is>
      </c>
      <c r="AO17" t="inlineStr">
        <is>
          <t>EVG</t>
        </is>
      </c>
      <c r="AP17" t="inlineStr"/>
      <c r="AQ17" t="inlineStr">
        <is>
          <t>8.5(L) x 12.4(H) cm</t>
        </is>
      </c>
      <c r="AR17" t="inlineStr"/>
      <c r="AS17" t="inlineStr">
        <is>
          <t>996902074596</t>
        </is>
      </c>
      <c r="AT17" t="inlineStr">
        <is>
          <t>002</t>
        </is>
      </c>
      <c r="AU17" t="inlineStr">
        <is>
          <t>001</t>
        </is>
      </c>
      <c r="AV17" t="inlineStr">
        <is>
          <t xml:space="preserve">   </t>
        </is>
      </c>
      <c r="AW17" t="inlineStr">
        <is>
          <t xml:space="preserve">   </t>
        </is>
      </c>
      <c r="AX17" t="inlineStr">
        <is>
          <t xml:space="preserve">   </t>
        </is>
      </c>
    </row>
    <row r="18">
      <c r="A18" t="n">
        <v>45598</v>
      </c>
      <c r="B18" t="n">
        <v>1</v>
      </c>
      <c r="C18" t="n">
        <v>790000</v>
      </c>
      <c r="D18" t="inlineStr">
        <is>
          <t>Special Offer</t>
        </is>
      </c>
      <c r="E18" t="n">
        <v>0</v>
      </c>
      <c r="F18" s="2" t="n">
        <v>46284</v>
      </c>
      <c r="G18" t="inlineStr">
        <is>
          <t>REIGN</t>
        </is>
      </c>
      <c r="H18" t="inlineStr">
        <is>
          <t>E560</t>
        </is>
      </c>
      <c r="I18" t="n">
        <v>0</v>
      </c>
      <c r="J18" t="n">
        <v>711712</v>
      </c>
      <c r="K18" t="n">
        <v>711712</v>
      </c>
      <c r="L18" t="n">
        <v>790000</v>
      </c>
      <c r="M18" t="n">
        <v>790000</v>
      </c>
      <c r="N18" t="inlineStr">
        <is>
          <t>FFO</t>
        </is>
      </c>
      <c r="O18" t="n">
        <v>45598</v>
      </c>
      <c r="P18" t="n">
        <v>2</v>
      </c>
      <c r="Q18" t="n">
        <v>2</v>
      </c>
      <c r="R18" t="inlineStr">
        <is>
          <t>006</t>
        </is>
      </c>
      <c r="S18" t="n">
        <v>1</v>
      </c>
      <c r="T18" t="n">
        <v>0</v>
      </c>
      <c r="U18" t="n">
        <v>100</v>
      </c>
      <c r="V18" t="inlineStr">
        <is>
          <t>E560</t>
        </is>
      </c>
      <c r="W18" t="n">
        <v>790000</v>
      </c>
      <c r="X18" t="n">
        <v>790000</v>
      </c>
      <c r="Y18" t="inlineStr">
        <is>
          <t>7093A</t>
        </is>
      </c>
      <c r="Z18" t="inlineStr">
        <is>
          <t>REIGN             001001         X</t>
        </is>
      </c>
      <c r="AB18" t="inlineStr">
        <is>
          <t>E560</t>
        </is>
      </c>
      <c r="AC18" t="inlineStr">
        <is>
          <t>E560</t>
        </is>
      </c>
      <c r="AD18" t="inlineStr">
        <is>
          <t xml:space="preserve">EB </t>
        </is>
      </c>
      <c r="AE18" t="inlineStr">
        <is>
          <t>LDS</t>
        </is>
      </c>
      <c r="AF18" t="inlineStr">
        <is>
          <t>SLG</t>
        </is>
      </c>
      <c r="AH18" t="inlineStr">
        <is>
          <t>EVERBEST LADIES LANYARD ALMOND FREE SIZE</t>
        </is>
      </c>
      <c r="AI18" t="inlineStr">
        <is>
          <t>17068</t>
        </is>
      </c>
      <c r="AJ18" t="inlineStr">
        <is>
          <t>G114K4967588</t>
        </is>
      </c>
      <c r="AL18" t="inlineStr">
        <is>
          <t>ART</t>
        </is>
      </c>
      <c r="AM18" t="inlineStr">
        <is>
          <t xml:space="preserve">   </t>
        </is>
      </c>
      <c r="AO18" t="inlineStr">
        <is>
          <t>EVG</t>
        </is>
      </c>
      <c r="AP18" t="inlineStr"/>
      <c r="AQ18" t="inlineStr">
        <is>
          <t>8.5(L) x 12.4(H) cm</t>
        </is>
      </c>
      <c r="AR18" t="inlineStr"/>
      <c r="AS18" t="inlineStr">
        <is>
          <t>996902074595</t>
        </is>
      </c>
      <c r="AT18" t="inlineStr">
        <is>
          <t>001</t>
        </is>
      </c>
      <c r="AU18" t="inlineStr">
        <is>
          <t>001</t>
        </is>
      </c>
      <c r="AV18" t="inlineStr">
        <is>
          <t xml:space="preserve">   </t>
        </is>
      </c>
      <c r="AW18" t="inlineStr">
        <is>
          <t xml:space="preserve">   </t>
        </is>
      </c>
      <c r="AX18" t="inlineStr">
        <is>
          <t xml:space="preserve">   </t>
        </is>
      </c>
    </row>
    <row r="19">
      <c r="A19" t="n">
        <v>45602</v>
      </c>
      <c r="B19" t="n">
        <v>1</v>
      </c>
      <c r="C19" t="n">
        <v>790000</v>
      </c>
      <c r="D19" t="inlineStr">
        <is>
          <t>Special Offer</t>
        </is>
      </c>
      <c r="E19" t="n">
        <v>0</v>
      </c>
      <c r="F19" s="2" t="n">
        <v>46284</v>
      </c>
      <c r="G19" t="inlineStr">
        <is>
          <t>REIGN</t>
        </is>
      </c>
      <c r="H19" t="inlineStr">
        <is>
          <t>E560</t>
        </is>
      </c>
      <c r="I19" t="n">
        <v>0</v>
      </c>
      <c r="J19" t="n">
        <v>711712</v>
      </c>
      <c r="K19" t="n">
        <v>711712</v>
      </c>
      <c r="L19" t="n">
        <v>790000</v>
      </c>
      <c r="M19" t="n">
        <v>790000</v>
      </c>
      <c r="N19" t="inlineStr">
        <is>
          <t>FFO</t>
        </is>
      </c>
      <c r="O19" t="n">
        <v>45602</v>
      </c>
      <c r="P19" t="n">
        <v>1</v>
      </c>
      <c r="Q19" t="n">
        <v>5</v>
      </c>
      <c r="R19" t="inlineStr">
        <is>
          <t>006</t>
        </is>
      </c>
      <c r="S19" t="n">
        <v>1</v>
      </c>
      <c r="T19" t="n">
        <v>0</v>
      </c>
      <c r="U19" t="n">
        <v>100</v>
      </c>
      <c r="V19" t="inlineStr">
        <is>
          <t>E560</t>
        </is>
      </c>
      <c r="W19" t="n">
        <v>790000</v>
      </c>
      <c r="X19" t="n">
        <v>790000</v>
      </c>
      <c r="Y19" t="inlineStr">
        <is>
          <t>7093A</t>
        </is>
      </c>
      <c r="Z19" t="inlineStr">
        <is>
          <t>REIGN             002001         X</t>
        </is>
      </c>
      <c r="AB19" t="inlineStr">
        <is>
          <t>E560</t>
        </is>
      </c>
      <c r="AC19" t="inlineStr">
        <is>
          <t>E560</t>
        </is>
      </c>
      <c r="AD19" t="inlineStr">
        <is>
          <t xml:space="preserve">EB </t>
        </is>
      </c>
      <c r="AE19" t="inlineStr">
        <is>
          <t>LDS</t>
        </is>
      </c>
      <c r="AF19" t="inlineStr">
        <is>
          <t>SLG</t>
        </is>
      </c>
      <c r="AH19" t="inlineStr">
        <is>
          <t>EVERBEST LADIES LANYARD BEIGE FREE SIZE</t>
        </is>
      </c>
      <c r="AI19" t="inlineStr">
        <is>
          <t>17328</t>
        </is>
      </c>
      <c r="AJ19" t="inlineStr">
        <is>
          <t>6TDF70903691</t>
        </is>
      </c>
      <c r="AL19" t="inlineStr">
        <is>
          <t>ART</t>
        </is>
      </c>
      <c r="AM19" t="inlineStr">
        <is>
          <t xml:space="preserve">   </t>
        </is>
      </c>
      <c r="AO19" t="inlineStr">
        <is>
          <t>EVG</t>
        </is>
      </c>
      <c r="AP19" t="inlineStr"/>
      <c r="AQ19" t="inlineStr">
        <is>
          <t>8.5(L) x 12.4(H) cm</t>
        </is>
      </c>
      <c r="AR19" t="inlineStr"/>
      <c r="AS19" t="inlineStr">
        <is>
          <t>996902074596</t>
        </is>
      </c>
      <c r="AT19" t="inlineStr">
        <is>
          <t>002</t>
        </is>
      </c>
      <c r="AU19" t="inlineStr">
        <is>
          <t>001</t>
        </is>
      </c>
      <c r="AV19" t="inlineStr">
        <is>
          <t xml:space="preserve">   </t>
        </is>
      </c>
      <c r="AW19" t="inlineStr">
        <is>
          <t xml:space="preserve">   </t>
        </is>
      </c>
      <c r="AX19" t="inlineStr">
        <is>
          <t xml:space="preserve">   </t>
        </is>
      </c>
    </row>
    <row r="20">
      <c r="A20" t="n">
        <v>45604</v>
      </c>
      <c r="B20" t="n">
        <v>1</v>
      </c>
      <c r="C20" t="n">
        <v>790000</v>
      </c>
      <c r="D20" t="inlineStr">
        <is>
          <t>Special Offer</t>
        </is>
      </c>
      <c r="E20" t="n">
        <v>0</v>
      </c>
      <c r="F20" s="2" t="n">
        <v>46284</v>
      </c>
      <c r="G20" t="inlineStr">
        <is>
          <t>REIGN</t>
        </is>
      </c>
      <c r="H20" t="inlineStr">
        <is>
          <t>E560</t>
        </is>
      </c>
      <c r="I20" t="n">
        <v>0</v>
      </c>
      <c r="J20" t="n">
        <v>711712</v>
      </c>
      <c r="K20" t="n">
        <v>711712</v>
      </c>
      <c r="L20" t="n">
        <v>790000</v>
      </c>
      <c r="M20" t="n">
        <v>790000</v>
      </c>
      <c r="N20" t="inlineStr">
        <is>
          <t>FFO</t>
        </is>
      </c>
      <c r="O20" t="n">
        <v>45604</v>
      </c>
      <c r="P20" t="n">
        <v>2</v>
      </c>
      <c r="Q20" t="n">
        <v>2</v>
      </c>
      <c r="R20" t="inlineStr">
        <is>
          <t>006</t>
        </is>
      </c>
      <c r="S20" t="n">
        <v>1</v>
      </c>
      <c r="T20" t="n">
        <v>0</v>
      </c>
      <c r="U20" t="n">
        <v>100</v>
      </c>
      <c r="V20" t="inlineStr">
        <is>
          <t>E560</t>
        </is>
      </c>
      <c r="W20" t="n">
        <v>790000</v>
      </c>
      <c r="X20" t="n">
        <v>790000</v>
      </c>
      <c r="Y20" t="inlineStr">
        <is>
          <t>7093A</t>
        </is>
      </c>
      <c r="Z20" t="inlineStr">
        <is>
          <t>REIGN             002001         X</t>
        </is>
      </c>
      <c r="AB20" t="inlineStr">
        <is>
          <t>E560</t>
        </is>
      </c>
      <c r="AC20" t="inlineStr">
        <is>
          <t>E560</t>
        </is>
      </c>
      <c r="AD20" t="inlineStr">
        <is>
          <t xml:space="preserve">EB </t>
        </is>
      </c>
      <c r="AE20" t="inlineStr">
        <is>
          <t>LDS</t>
        </is>
      </c>
      <c r="AF20" t="inlineStr">
        <is>
          <t>SLG</t>
        </is>
      </c>
      <c r="AH20" t="inlineStr">
        <is>
          <t>EVERBEST LADIES LANYARD BEIGE FREE SIZE</t>
        </is>
      </c>
      <c r="AI20" t="inlineStr">
        <is>
          <t>17068</t>
        </is>
      </c>
      <c r="AJ20" t="inlineStr">
        <is>
          <t>O1L751837789</t>
        </is>
      </c>
      <c r="AL20" t="inlineStr">
        <is>
          <t>ART</t>
        </is>
      </c>
      <c r="AM20" t="inlineStr">
        <is>
          <t xml:space="preserve">   </t>
        </is>
      </c>
      <c r="AO20" t="inlineStr">
        <is>
          <t>EVG</t>
        </is>
      </c>
      <c r="AP20" t="inlineStr"/>
      <c r="AQ20" t="inlineStr">
        <is>
          <t>8.5(L) x 12.4(H) cm</t>
        </is>
      </c>
      <c r="AR20" t="inlineStr"/>
      <c r="AS20" t="inlineStr">
        <is>
          <t>996902074596</t>
        </is>
      </c>
      <c r="AT20" t="inlineStr">
        <is>
          <t>002</t>
        </is>
      </c>
      <c r="AU20" t="inlineStr">
        <is>
          <t>001</t>
        </is>
      </c>
      <c r="AV20" t="inlineStr">
        <is>
          <t xml:space="preserve">   </t>
        </is>
      </c>
      <c r="AW20" t="inlineStr">
        <is>
          <t xml:space="preserve">   </t>
        </is>
      </c>
      <c r="AX20" t="inlineStr">
        <is>
          <t xml:space="preserve">   </t>
        </is>
      </c>
    </row>
    <row r="21">
      <c r="A21" t="n">
        <v>45605</v>
      </c>
      <c r="B21" t="n">
        <v>1</v>
      </c>
      <c r="C21" t="n">
        <v>790000</v>
      </c>
      <c r="D21" t="inlineStr">
        <is>
          <t>Special Offer</t>
        </is>
      </c>
      <c r="E21" t="n">
        <v>0</v>
      </c>
      <c r="F21" s="2" t="n">
        <v>46284</v>
      </c>
      <c r="G21" t="inlineStr">
        <is>
          <t>REIGN</t>
        </is>
      </c>
      <c r="H21" t="inlineStr">
        <is>
          <t>E560</t>
        </is>
      </c>
      <c r="I21" t="n">
        <v>0</v>
      </c>
      <c r="J21" t="n">
        <v>711712</v>
      </c>
      <c r="K21" t="n">
        <v>711712</v>
      </c>
      <c r="L21" t="n">
        <v>790000</v>
      </c>
      <c r="M21" t="n">
        <v>790000</v>
      </c>
      <c r="N21" t="inlineStr">
        <is>
          <t>FFO</t>
        </is>
      </c>
      <c r="O21" t="n">
        <v>45605</v>
      </c>
      <c r="P21" t="n">
        <v>2</v>
      </c>
      <c r="Q21" t="n">
        <v>2</v>
      </c>
      <c r="R21" t="inlineStr">
        <is>
          <t>006</t>
        </is>
      </c>
      <c r="S21" t="n">
        <v>1</v>
      </c>
      <c r="T21" t="n">
        <v>0</v>
      </c>
      <c r="U21" t="n">
        <v>100</v>
      </c>
      <c r="V21" t="inlineStr">
        <is>
          <t>E560</t>
        </is>
      </c>
      <c r="W21" t="n">
        <v>790000</v>
      </c>
      <c r="X21" t="n">
        <v>790000</v>
      </c>
      <c r="Y21" t="inlineStr">
        <is>
          <t>7093A</t>
        </is>
      </c>
      <c r="Z21" t="inlineStr">
        <is>
          <t>REIGN             001001         X</t>
        </is>
      </c>
      <c r="AB21" t="inlineStr">
        <is>
          <t>E560</t>
        </is>
      </c>
      <c r="AC21" t="inlineStr">
        <is>
          <t>E560</t>
        </is>
      </c>
      <c r="AD21" t="inlineStr">
        <is>
          <t xml:space="preserve">EB </t>
        </is>
      </c>
      <c r="AE21" t="inlineStr">
        <is>
          <t>LDS</t>
        </is>
      </c>
      <c r="AF21" t="inlineStr">
        <is>
          <t>SLG</t>
        </is>
      </c>
      <c r="AH21" t="inlineStr">
        <is>
          <t>EVERBEST LADIES LANYARD ALMOND FREE SIZE</t>
        </is>
      </c>
      <c r="AI21" t="inlineStr">
        <is>
          <t>15770</t>
        </is>
      </c>
      <c r="AJ21" t="inlineStr">
        <is>
          <t>9VADVO709516</t>
        </is>
      </c>
      <c r="AL21" t="inlineStr">
        <is>
          <t>ART</t>
        </is>
      </c>
      <c r="AM21" t="inlineStr">
        <is>
          <t xml:space="preserve">   </t>
        </is>
      </c>
      <c r="AO21" t="inlineStr">
        <is>
          <t>EVG</t>
        </is>
      </c>
      <c r="AP21" t="inlineStr"/>
      <c r="AQ21" t="inlineStr">
        <is>
          <t>8.5(L) x 12.4(H) cm</t>
        </is>
      </c>
      <c r="AR21" t="inlineStr"/>
      <c r="AS21" t="inlineStr">
        <is>
          <t>996902074595</t>
        </is>
      </c>
      <c r="AT21" t="inlineStr">
        <is>
          <t>001</t>
        </is>
      </c>
      <c r="AU21" t="inlineStr">
        <is>
          <t>001</t>
        </is>
      </c>
      <c r="AV21" t="inlineStr">
        <is>
          <t xml:space="preserve">   </t>
        </is>
      </c>
      <c r="AW21" t="inlineStr">
        <is>
          <t xml:space="preserve">   </t>
        </is>
      </c>
      <c r="AX21" t="inlineStr">
        <is>
          <t xml:space="preserve">   </t>
        </is>
      </c>
    </row>
    <row r="22">
      <c r="A22" t="n">
        <v>38029</v>
      </c>
      <c r="B22" t="n">
        <v>1</v>
      </c>
      <c r="C22" t="n">
        <v>790000</v>
      </c>
      <c r="D22" t="inlineStr">
        <is>
          <t>Special Offer</t>
        </is>
      </c>
      <c r="E22" t="n">
        <v>0</v>
      </c>
      <c r="F22" s="2" t="n">
        <v>46284</v>
      </c>
      <c r="G22" t="inlineStr">
        <is>
          <t>REIGN</t>
        </is>
      </c>
      <c r="H22" t="inlineStr">
        <is>
          <t>E950</t>
        </is>
      </c>
      <c r="I22" t="n">
        <v>0</v>
      </c>
      <c r="J22" t="n">
        <v>711712</v>
      </c>
      <c r="K22" t="n">
        <v>711712</v>
      </c>
      <c r="L22" t="n">
        <v>790000</v>
      </c>
      <c r="M22" t="n">
        <v>790000</v>
      </c>
      <c r="N22" t="inlineStr">
        <is>
          <t>FFO</t>
        </is>
      </c>
      <c r="O22" t="n">
        <v>38029</v>
      </c>
      <c r="P22" t="n">
        <v>2</v>
      </c>
      <c r="Q22" t="n">
        <v>3</v>
      </c>
      <c r="R22" t="inlineStr">
        <is>
          <t>006</t>
        </is>
      </c>
      <c r="S22" t="n">
        <v>1</v>
      </c>
      <c r="T22" t="n">
        <v>0</v>
      </c>
      <c r="U22" t="n">
        <v>100</v>
      </c>
      <c r="V22" t="inlineStr">
        <is>
          <t>E950</t>
        </is>
      </c>
      <c r="W22" t="n">
        <v>790000</v>
      </c>
      <c r="X22" t="n">
        <v>790000</v>
      </c>
      <c r="Y22" t="inlineStr">
        <is>
          <t>7093A</t>
        </is>
      </c>
      <c r="Z22" t="inlineStr">
        <is>
          <t>REIGN             003001         X</t>
        </is>
      </c>
      <c r="AB22" t="inlineStr">
        <is>
          <t>E950</t>
        </is>
      </c>
      <c r="AC22" t="inlineStr">
        <is>
          <t>E950</t>
        </is>
      </c>
      <c r="AD22" t="inlineStr">
        <is>
          <t xml:space="preserve">EB </t>
        </is>
      </c>
      <c r="AE22" t="inlineStr">
        <is>
          <t>LDS</t>
        </is>
      </c>
      <c r="AF22" t="inlineStr">
        <is>
          <t>SLG</t>
        </is>
      </c>
      <c r="AH22" t="inlineStr">
        <is>
          <t>EVERBEST LADIES LANYARD BLACK FREE SIZE</t>
        </is>
      </c>
      <c r="AI22" t="inlineStr">
        <is>
          <t>16558</t>
        </is>
      </c>
      <c r="AJ22" t="inlineStr">
        <is>
          <t>T950200000218</t>
        </is>
      </c>
      <c r="AL22" t="inlineStr">
        <is>
          <t>ART</t>
        </is>
      </c>
      <c r="AM22" t="inlineStr">
        <is>
          <t xml:space="preserve">   </t>
        </is>
      </c>
      <c r="AO22" t="inlineStr">
        <is>
          <t>EVG</t>
        </is>
      </c>
      <c r="AP22" t="inlineStr"/>
      <c r="AQ22" t="inlineStr">
        <is>
          <t>8.5(L) x 12.4(H) cm</t>
        </is>
      </c>
      <c r="AR22" t="inlineStr"/>
      <c r="AS22" t="inlineStr">
        <is>
          <t>996902074255</t>
        </is>
      </c>
      <c r="AT22" t="inlineStr">
        <is>
          <t>003</t>
        </is>
      </c>
      <c r="AU22" t="inlineStr">
        <is>
          <t>001</t>
        </is>
      </c>
      <c r="AV22" t="inlineStr">
        <is>
          <t xml:space="preserve">   </t>
        </is>
      </c>
      <c r="AW22" t="inlineStr">
        <is>
          <t xml:space="preserve">   </t>
        </is>
      </c>
      <c r="AX22" t="inlineStr">
        <is>
          <t xml:space="preserve">   </t>
        </is>
      </c>
    </row>
    <row r="23">
      <c r="A23" t="n">
        <v>38031</v>
      </c>
      <c r="B23" t="n">
        <v>1</v>
      </c>
      <c r="C23" t="n">
        <v>790000</v>
      </c>
      <c r="D23" t="inlineStr">
        <is>
          <t>Special Offer</t>
        </is>
      </c>
      <c r="E23" t="n">
        <v>0</v>
      </c>
      <c r="F23" s="2" t="n">
        <v>46284</v>
      </c>
      <c r="G23" t="inlineStr">
        <is>
          <t>REIGN</t>
        </is>
      </c>
      <c r="H23" t="inlineStr">
        <is>
          <t>E950</t>
        </is>
      </c>
      <c r="I23" t="n">
        <v>0</v>
      </c>
      <c r="J23" t="n">
        <v>711712</v>
      </c>
      <c r="K23" t="n">
        <v>711712</v>
      </c>
      <c r="L23" t="n">
        <v>790000</v>
      </c>
      <c r="M23" t="n">
        <v>790000</v>
      </c>
      <c r="N23" t="inlineStr">
        <is>
          <t>FFO</t>
        </is>
      </c>
      <c r="O23" t="n">
        <v>38031</v>
      </c>
      <c r="P23" t="n">
        <v>2</v>
      </c>
      <c r="Q23" t="n">
        <v>2</v>
      </c>
      <c r="R23" t="inlineStr">
        <is>
          <t>006</t>
        </is>
      </c>
      <c r="S23" t="n">
        <v>1</v>
      </c>
      <c r="T23" t="n">
        <v>0</v>
      </c>
      <c r="U23" t="n">
        <v>100</v>
      </c>
      <c r="V23" t="inlineStr">
        <is>
          <t>E950</t>
        </is>
      </c>
      <c r="W23" t="n">
        <v>790000</v>
      </c>
      <c r="X23" t="n">
        <v>790000</v>
      </c>
      <c r="Y23" t="inlineStr">
        <is>
          <t>7093A</t>
        </is>
      </c>
      <c r="Z23" t="inlineStr">
        <is>
          <t>REIGN             001001         X</t>
        </is>
      </c>
      <c r="AB23" t="inlineStr">
        <is>
          <t>E950</t>
        </is>
      </c>
      <c r="AC23" t="inlineStr">
        <is>
          <t>E950</t>
        </is>
      </c>
      <c r="AD23" t="inlineStr">
        <is>
          <t xml:space="preserve">EB </t>
        </is>
      </c>
      <c r="AE23" t="inlineStr">
        <is>
          <t>LDS</t>
        </is>
      </c>
      <c r="AF23" t="inlineStr">
        <is>
          <t>SLG</t>
        </is>
      </c>
      <c r="AH23" t="inlineStr">
        <is>
          <t>EVERBEST LADIES LANYARD ALMOND FREE SIZE</t>
        </is>
      </c>
      <c r="AI23" t="inlineStr">
        <is>
          <t>16558</t>
        </is>
      </c>
      <c r="AJ23" t="inlineStr">
        <is>
          <t>LOA1OO967626</t>
        </is>
      </c>
      <c r="AL23" t="inlineStr">
        <is>
          <t>ART</t>
        </is>
      </c>
      <c r="AM23" t="inlineStr">
        <is>
          <t xml:space="preserve">   </t>
        </is>
      </c>
      <c r="AO23" t="inlineStr">
        <is>
          <t>EVG</t>
        </is>
      </c>
      <c r="AP23" t="inlineStr"/>
      <c r="AQ23" t="inlineStr">
        <is>
          <t>8.5(L) x 12.4(H) cm</t>
        </is>
      </c>
      <c r="AR23" t="inlineStr"/>
      <c r="AS23" t="inlineStr">
        <is>
          <t>996902074595</t>
        </is>
      </c>
      <c r="AT23" t="inlineStr">
        <is>
          <t>001</t>
        </is>
      </c>
      <c r="AU23" t="inlineStr">
        <is>
          <t>001</t>
        </is>
      </c>
      <c r="AV23" t="inlineStr">
        <is>
          <t xml:space="preserve">   </t>
        </is>
      </c>
      <c r="AW23" t="inlineStr">
        <is>
          <t xml:space="preserve">   </t>
        </is>
      </c>
      <c r="AX23" t="inlineStr">
        <is>
          <t xml:space="preserve">   </t>
        </is>
      </c>
    </row>
    <row r="24">
      <c r="A24" t="n">
        <v>38032</v>
      </c>
      <c r="B24" t="n">
        <v>1</v>
      </c>
      <c r="C24" t="n">
        <v>790000</v>
      </c>
      <c r="D24" t="inlineStr">
        <is>
          <t>Special Offer</t>
        </is>
      </c>
      <c r="E24" t="n">
        <v>0</v>
      </c>
      <c r="F24" s="2" t="n">
        <v>46284</v>
      </c>
      <c r="G24" t="inlineStr">
        <is>
          <t>REIGN</t>
        </is>
      </c>
      <c r="H24" t="inlineStr">
        <is>
          <t>E950</t>
        </is>
      </c>
      <c r="I24" t="n">
        <v>0</v>
      </c>
      <c r="J24" t="n">
        <v>711712</v>
      </c>
      <c r="K24" t="n">
        <v>711712</v>
      </c>
      <c r="L24" t="n">
        <v>790000</v>
      </c>
      <c r="M24" t="n">
        <v>790000</v>
      </c>
      <c r="N24" t="inlineStr">
        <is>
          <t>FFO</t>
        </is>
      </c>
      <c r="O24" t="n">
        <v>38032</v>
      </c>
      <c r="P24" t="n">
        <v>2</v>
      </c>
      <c r="Q24" t="n">
        <v>2</v>
      </c>
      <c r="R24" t="inlineStr">
        <is>
          <t>006</t>
        </is>
      </c>
      <c r="S24" t="n">
        <v>1</v>
      </c>
      <c r="T24" t="n">
        <v>0</v>
      </c>
      <c r="U24" t="n">
        <v>100</v>
      </c>
      <c r="V24" t="inlineStr">
        <is>
          <t>E950</t>
        </is>
      </c>
      <c r="W24" t="n">
        <v>790000</v>
      </c>
      <c r="X24" t="n">
        <v>790000</v>
      </c>
      <c r="Y24" t="inlineStr">
        <is>
          <t>7093A</t>
        </is>
      </c>
      <c r="Z24" t="inlineStr">
        <is>
          <t>REIGN             003001         X</t>
        </is>
      </c>
      <c r="AB24" t="inlineStr">
        <is>
          <t>E950</t>
        </is>
      </c>
      <c r="AC24" t="inlineStr">
        <is>
          <t>E950</t>
        </is>
      </c>
      <c r="AD24" t="inlineStr">
        <is>
          <t xml:space="preserve">EB </t>
        </is>
      </c>
      <c r="AE24" t="inlineStr">
        <is>
          <t>LDS</t>
        </is>
      </c>
      <c r="AF24" t="inlineStr">
        <is>
          <t>SLG</t>
        </is>
      </c>
      <c r="AH24" t="inlineStr">
        <is>
          <t>EVERBEST LADIES LANYARD BLACK FREE SIZE</t>
        </is>
      </c>
      <c r="AI24" t="inlineStr">
        <is>
          <t>15905</t>
        </is>
      </c>
      <c r="AJ24" t="inlineStr">
        <is>
          <t>G1O3CI967629</t>
        </is>
      </c>
      <c r="AL24" t="inlineStr">
        <is>
          <t>ART</t>
        </is>
      </c>
      <c r="AM24" t="inlineStr">
        <is>
          <t xml:space="preserve">   </t>
        </is>
      </c>
      <c r="AO24" t="inlineStr">
        <is>
          <t>EVG</t>
        </is>
      </c>
      <c r="AP24" t="inlineStr"/>
      <c r="AQ24" t="inlineStr">
        <is>
          <t>8.5(L) x 12.4(H) cm</t>
        </is>
      </c>
      <c r="AR24" t="inlineStr"/>
      <c r="AS24" t="inlineStr">
        <is>
          <t>996902074255</t>
        </is>
      </c>
      <c r="AT24" t="inlineStr">
        <is>
          <t>003</t>
        </is>
      </c>
      <c r="AU24" t="inlineStr">
        <is>
          <t>001</t>
        </is>
      </c>
      <c r="AV24" t="inlineStr">
        <is>
          <t xml:space="preserve">   </t>
        </is>
      </c>
      <c r="AW24" t="inlineStr">
        <is>
          <t xml:space="preserve">   </t>
        </is>
      </c>
      <c r="AX24" t="inlineStr">
        <is>
          <t xml:space="preserve">   </t>
        </is>
      </c>
    </row>
    <row r="25">
      <c r="A25" t="n">
        <v>38033</v>
      </c>
      <c r="B25" t="n">
        <v>1</v>
      </c>
      <c r="C25" t="n">
        <v>1890000</v>
      </c>
      <c r="D25" t="inlineStr">
        <is>
          <t>Special Offer</t>
        </is>
      </c>
      <c r="E25" t="n">
        <v>0</v>
      </c>
      <c r="F25" s="2" t="n">
        <v>46284</v>
      </c>
      <c r="G25" t="inlineStr">
        <is>
          <t>GAVESHA</t>
        </is>
      </c>
      <c r="H25" t="inlineStr">
        <is>
          <t>E950</t>
        </is>
      </c>
      <c r="I25" t="n">
        <v>0</v>
      </c>
      <c r="J25" t="n">
        <v>1702703</v>
      </c>
      <c r="K25" t="n">
        <v>1702703</v>
      </c>
      <c r="L25" t="n">
        <v>1890000</v>
      </c>
      <c r="M25" t="n">
        <v>1890000</v>
      </c>
      <c r="N25" t="inlineStr">
        <is>
          <t>FFO</t>
        </is>
      </c>
      <c r="O25" t="n">
        <v>38033</v>
      </c>
      <c r="P25" t="n">
        <v>3</v>
      </c>
      <c r="Q25" t="n">
        <v>3</v>
      </c>
      <c r="R25" t="inlineStr">
        <is>
          <t>006</t>
        </is>
      </c>
      <c r="S25" t="n">
        <v>1</v>
      </c>
      <c r="T25" t="n">
        <v>0</v>
      </c>
      <c r="U25" t="n">
        <v>100</v>
      </c>
      <c r="V25" t="inlineStr">
        <is>
          <t>E950</t>
        </is>
      </c>
      <c r="W25" t="n">
        <v>1890000</v>
      </c>
      <c r="X25" t="n">
        <v>1890000</v>
      </c>
      <c r="Y25" t="inlineStr">
        <is>
          <t>7093B</t>
        </is>
      </c>
      <c r="Z25" t="inlineStr">
        <is>
          <t>GAVESHA           003001         X</t>
        </is>
      </c>
      <c r="AB25" t="inlineStr">
        <is>
          <t>E950</t>
        </is>
      </c>
      <c r="AC25" t="inlineStr">
        <is>
          <t>E950</t>
        </is>
      </c>
      <c r="AD25" t="inlineStr">
        <is>
          <t xml:space="preserve">EB </t>
        </is>
      </c>
      <c r="AE25" t="inlineStr">
        <is>
          <t>LDS</t>
        </is>
      </c>
      <c r="AF25" t="inlineStr">
        <is>
          <t>BAG</t>
        </is>
      </c>
      <c r="AH25" t="inlineStr">
        <is>
          <t>EVERBEST LADIES BAGS BLACK FREE SIZE</t>
        </is>
      </c>
      <c r="AI25" t="inlineStr">
        <is>
          <t>15164</t>
        </is>
      </c>
      <c r="AJ25" t="inlineStr">
        <is>
          <t>JXN9IU967631</t>
        </is>
      </c>
      <c r="AL25" t="inlineStr">
        <is>
          <t>ART</t>
        </is>
      </c>
      <c r="AM25" t="inlineStr">
        <is>
          <t xml:space="preserve">   </t>
        </is>
      </c>
      <c r="AO25" t="inlineStr">
        <is>
          <t>HBYY</t>
        </is>
      </c>
      <c r="AP25" t="inlineStr"/>
      <c r="AQ25" t="inlineStr"/>
      <c r="AR25" t="inlineStr"/>
      <c r="AS25" t="inlineStr">
        <is>
          <t>996902081883</t>
        </is>
      </c>
      <c r="AT25" t="inlineStr">
        <is>
          <t>003</t>
        </is>
      </c>
      <c r="AU25" t="inlineStr">
        <is>
          <t>001</t>
        </is>
      </c>
      <c r="AV25" t="inlineStr">
        <is>
          <t xml:space="preserve">   </t>
        </is>
      </c>
      <c r="AW25" t="inlineStr">
        <is>
          <t xml:space="preserve">   </t>
        </is>
      </c>
      <c r="AX25" t="inlineStr">
        <is>
          <t xml:space="preserve">   </t>
        </is>
      </c>
    </row>
    <row r="26">
      <c r="A26" t="n">
        <v>38034</v>
      </c>
      <c r="B26" t="n">
        <v>1</v>
      </c>
      <c r="C26" t="n">
        <v>1890000</v>
      </c>
      <c r="D26" t="inlineStr">
        <is>
          <t>Special Offer</t>
        </is>
      </c>
      <c r="E26" t="n">
        <v>0</v>
      </c>
      <c r="F26" s="2" t="n">
        <v>46284</v>
      </c>
      <c r="G26" t="inlineStr">
        <is>
          <t>GAVESHA</t>
        </is>
      </c>
      <c r="H26" t="inlineStr">
        <is>
          <t>E950</t>
        </is>
      </c>
      <c r="I26" t="n">
        <v>0</v>
      </c>
      <c r="J26" t="n">
        <v>1702703</v>
      </c>
      <c r="K26" t="n">
        <v>1702703</v>
      </c>
      <c r="L26" t="n">
        <v>1890000</v>
      </c>
      <c r="M26" t="n">
        <v>1890000</v>
      </c>
      <c r="N26" t="inlineStr">
        <is>
          <t>FFO</t>
        </is>
      </c>
      <c r="O26" t="n">
        <v>38034</v>
      </c>
      <c r="P26" t="n">
        <v>3</v>
      </c>
      <c r="Q26" t="n">
        <v>3</v>
      </c>
      <c r="R26" t="inlineStr">
        <is>
          <t>006</t>
        </is>
      </c>
      <c r="S26" t="n">
        <v>1</v>
      </c>
      <c r="T26" t="n">
        <v>0</v>
      </c>
      <c r="U26" t="n">
        <v>100</v>
      </c>
      <c r="V26" t="inlineStr">
        <is>
          <t>E950</t>
        </is>
      </c>
      <c r="W26" t="n">
        <v>1890000</v>
      </c>
      <c r="X26" t="n">
        <v>1890000</v>
      </c>
      <c r="Y26" t="inlineStr">
        <is>
          <t>7093B</t>
        </is>
      </c>
      <c r="Z26" t="inlineStr">
        <is>
          <t>GAVESHA           00Z001         X</t>
        </is>
      </c>
      <c r="AB26" t="inlineStr">
        <is>
          <t>E950</t>
        </is>
      </c>
      <c r="AC26" t="inlineStr">
        <is>
          <t>E950</t>
        </is>
      </c>
      <c r="AD26" t="inlineStr">
        <is>
          <t xml:space="preserve">EB </t>
        </is>
      </c>
      <c r="AE26" t="inlineStr">
        <is>
          <t>LDS</t>
        </is>
      </c>
      <c r="AF26" t="inlineStr">
        <is>
          <t>BAG</t>
        </is>
      </c>
      <c r="AH26" t="inlineStr">
        <is>
          <t>EVERBEST LADIES BAGS TAN FREE SIZE</t>
        </is>
      </c>
      <c r="AI26" t="inlineStr">
        <is>
          <t>16362</t>
        </is>
      </c>
      <c r="AJ26" t="inlineStr">
        <is>
          <t>ZVJTEH967628</t>
        </is>
      </c>
      <c r="AL26" t="inlineStr">
        <is>
          <t>ART</t>
        </is>
      </c>
      <c r="AM26" t="inlineStr">
        <is>
          <t xml:space="preserve">   </t>
        </is>
      </c>
      <c r="AO26" t="inlineStr">
        <is>
          <t>HBYY</t>
        </is>
      </c>
      <c r="AP26" t="inlineStr"/>
      <c r="AQ26" t="inlineStr"/>
      <c r="AR26" t="inlineStr"/>
      <c r="AS26" t="inlineStr">
        <is>
          <t>996902081885</t>
        </is>
      </c>
      <c r="AT26" t="inlineStr">
        <is>
          <t>00Z</t>
        </is>
      </c>
      <c r="AU26" t="inlineStr">
        <is>
          <t>001</t>
        </is>
      </c>
      <c r="AV26" t="inlineStr">
        <is>
          <t xml:space="preserve">   </t>
        </is>
      </c>
      <c r="AW26" t="inlineStr">
        <is>
          <t xml:space="preserve">   </t>
        </is>
      </c>
      <c r="AX26" t="inlineStr">
        <is>
          <t xml:space="preserve">   </t>
        </is>
      </c>
    </row>
    <row r="27">
      <c r="A27" t="n">
        <v>29626</v>
      </c>
      <c r="B27" t="n">
        <v>1</v>
      </c>
      <c r="C27" t="n">
        <v>1890000</v>
      </c>
      <c r="D27" t="inlineStr">
        <is>
          <t>Special Offer</t>
        </is>
      </c>
      <c r="E27" t="n">
        <v>0</v>
      </c>
      <c r="F27" s="2" t="n">
        <v>46284</v>
      </c>
      <c r="G27" t="inlineStr">
        <is>
          <t>GAVESHA</t>
        </is>
      </c>
      <c r="H27" t="inlineStr">
        <is>
          <t>E105</t>
        </is>
      </c>
      <c r="I27" t="n">
        <v>0</v>
      </c>
      <c r="J27" t="n">
        <v>1702703</v>
      </c>
      <c r="K27" t="n">
        <v>1702703</v>
      </c>
      <c r="L27" t="n">
        <v>1890000</v>
      </c>
      <c r="M27" t="n">
        <v>1890000</v>
      </c>
      <c r="N27" t="inlineStr">
        <is>
          <t>FFO</t>
        </is>
      </c>
      <c r="O27" t="n">
        <v>29626</v>
      </c>
      <c r="P27" t="n">
        <v>3</v>
      </c>
      <c r="Q27" t="n">
        <v>3</v>
      </c>
      <c r="R27" t="inlineStr">
        <is>
          <t>006</t>
        </is>
      </c>
      <c r="S27" t="n">
        <v>1</v>
      </c>
      <c r="T27" t="n">
        <v>0</v>
      </c>
      <c r="U27" t="n">
        <v>100</v>
      </c>
      <c r="V27" t="inlineStr">
        <is>
          <t>E105</t>
        </is>
      </c>
      <c r="W27" t="n">
        <v>1890000</v>
      </c>
      <c r="X27" t="n">
        <v>1890000</v>
      </c>
      <c r="Y27" t="inlineStr">
        <is>
          <t>7093B</t>
        </is>
      </c>
      <c r="Z27" t="inlineStr">
        <is>
          <t>GAVESHA           001001         X</t>
        </is>
      </c>
      <c r="AB27" t="inlineStr">
        <is>
          <t>E105</t>
        </is>
      </c>
      <c r="AC27" t="inlineStr">
        <is>
          <t>E105</t>
        </is>
      </c>
      <c r="AD27" t="inlineStr">
        <is>
          <t xml:space="preserve">EB </t>
        </is>
      </c>
      <c r="AE27" t="inlineStr">
        <is>
          <t>LDS</t>
        </is>
      </c>
      <c r="AF27" t="inlineStr">
        <is>
          <t>BAG</t>
        </is>
      </c>
      <c r="AH27" t="inlineStr">
        <is>
          <t>EVERBEST LADIES BAGS ALMOND FREE SIZE</t>
        </is>
      </c>
      <c r="AI27" t="inlineStr">
        <is>
          <t>17197</t>
        </is>
      </c>
      <c r="AJ27" t="inlineStr">
        <is>
          <t>O2N0ZI545212</t>
        </is>
      </c>
      <c r="AL27" t="inlineStr">
        <is>
          <t>ART</t>
        </is>
      </c>
      <c r="AM27" t="inlineStr">
        <is>
          <t xml:space="preserve">   </t>
        </is>
      </c>
      <c r="AO27" t="inlineStr">
        <is>
          <t>HBYY</t>
        </is>
      </c>
      <c r="AP27" t="inlineStr"/>
      <c r="AQ27" t="inlineStr"/>
      <c r="AR27" t="inlineStr"/>
      <c r="AS27" t="inlineStr">
        <is>
          <t>996902081884</t>
        </is>
      </c>
      <c r="AT27" t="inlineStr">
        <is>
          <t>001</t>
        </is>
      </c>
      <c r="AU27" t="inlineStr">
        <is>
          <t>001</t>
        </is>
      </c>
      <c r="AV27" t="inlineStr">
        <is>
          <t xml:space="preserve">   </t>
        </is>
      </c>
      <c r="AW27" t="inlineStr">
        <is>
          <t xml:space="preserve">   </t>
        </is>
      </c>
      <c r="AX27" t="inlineStr">
        <is>
          <t xml:space="preserve">   </t>
        </is>
      </c>
    </row>
    <row r="28">
      <c r="A28" t="n">
        <v>35217</v>
      </c>
      <c r="B28" t="n">
        <v>1</v>
      </c>
      <c r="C28" t="n">
        <v>1890000</v>
      </c>
      <c r="D28" t="inlineStr">
        <is>
          <t>Special Offer</t>
        </is>
      </c>
      <c r="E28" t="n">
        <v>0</v>
      </c>
      <c r="F28" s="2" t="n">
        <v>46284</v>
      </c>
      <c r="G28" t="inlineStr">
        <is>
          <t>GAVESHA</t>
        </is>
      </c>
      <c r="H28" t="inlineStr">
        <is>
          <t>E310</t>
        </is>
      </c>
      <c r="I28" t="n">
        <v>0</v>
      </c>
      <c r="J28" t="n">
        <v>1702703</v>
      </c>
      <c r="K28" t="n">
        <v>1702703</v>
      </c>
      <c r="L28" t="n">
        <v>1890000</v>
      </c>
      <c r="M28" t="n">
        <v>1890000</v>
      </c>
      <c r="N28" t="inlineStr">
        <is>
          <t>FFO</t>
        </is>
      </c>
      <c r="O28" t="n">
        <v>35217</v>
      </c>
      <c r="P28" t="n">
        <v>2</v>
      </c>
      <c r="Q28" t="n">
        <v>2</v>
      </c>
      <c r="R28" t="inlineStr">
        <is>
          <t>006</t>
        </is>
      </c>
      <c r="S28" t="n">
        <v>1</v>
      </c>
      <c r="T28" t="n">
        <v>0</v>
      </c>
      <c r="U28" t="n">
        <v>100</v>
      </c>
      <c r="V28" t="inlineStr">
        <is>
          <t>E310</t>
        </is>
      </c>
      <c r="W28" t="n">
        <v>1890000</v>
      </c>
      <c r="X28" t="n">
        <v>1890000</v>
      </c>
      <c r="Y28" t="inlineStr">
        <is>
          <t>7093B</t>
        </is>
      </c>
      <c r="Z28" t="inlineStr">
        <is>
          <t>GAVESHA           00Z001         X</t>
        </is>
      </c>
      <c r="AB28" t="inlineStr">
        <is>
          <t>E310</t>
        </is>
      </c>
      <c r="AC28" t="inlineStr">
        <is>
          <t>E310</t>
        </is>
      </c>
      <c r="AD28" t="inlineStr">
        <is>
          <t xml:space="preserve">EB </t>
        </is>
      </c>
      <c r="AE28" t="inlineStr">
        <is>
          <t>LDS</t>
        </is>
      </c>
      <c r="AF28" t="inlineStr">
        <is>
          <t>BAG</t>
        </is>
      </c>
      <c r="AH28" t="inlineStr">
        <is>
          <t>EVERBEST LADIES BAGS TAN FREE SIZE</t>
        </is>
      </c>
      <c r="AI28" t="inlineStr">
        <is>
          <t>15250</t>
        </is>
      </c>
      <c r="AJ28" t="inlineStr">
        <is>
          <t>S5OKKA553217</t>
        </is>
      </c>
      <c r="AL28" t="inlineStr">
        <is>
          <t>ART</t>
        </is>
      </c>
      <c r="AM28" t="inlineStr">
        <is>
          <t xml:space="preserve">   </t>
        </is>
      </c>
      <c r="AO28" t="inlineStr">
        <is>
          <t>HBYY</t>
        </is>
      </c>
      <c r="AP28" t="inlineStr"/>
      <c r="AQ28" t="inlineStr"/>
      <c r="AR28" t="inlineStr"/>
      <c r="AS28" t="inlineStr">
        <is>
          <t>996902081885</t>
        </is>
      </c>
      <c r="AT28" t="inlineStr">
        <is>
          <t>00Z</t>
        </is>
      </c>
      <c r="AU28" t="inlineStr">
        <is>
          <t>001</t>
        </is>
      </c>
      <c r="AV28" t="inlineStr">
        <is>
          <t xml:space="preserve">   </t>
        </is>
      </c>
      <c r="AW28" t="inlineStr">
        <is>
          <t xml:space="preserve">   </t>
        </is>
      </c>
      <c r="AX28" t="inlineStr">
        <is>
          <t xml:space="preserve">   </t>
        </is>
      </c>
    </row>
    <row r="29">
      <c r="A29" t="n">
        <v>57663</v>
      </c>
      <c r="B29" t="n">
        <v>1</v>
      </c>
      <c r="C29" t="n">
        <v>1890000</v>
      </c>
      <c r="D29" t="inlineStr">
        <is>
          <t>Special Offer</t>
        </is>
      </c>
      <c r="E29" t="n">
        <v>0</v>
      </c>
      <c r="F29" s="2" t="n">
        <v>46284</v>
      </c>
      <c r="G29" t="inlineStr">
        <is>
          <t>GAVESHA</t>
        </is>
      </c>
      <c r="H29" t="inlineStr">
        <is>
          <t>E810</t>
        </is>
      </c>
      <c r="I29" t="n">
        <v>0</v>
      </c>
      <c r="J29" t="n">
        <v>1702703</v>
      </c>
      <c r="K29" t="n">
        <v>1702703</v>
      </c>
      <c r="L29" t="n">
        <v>1890000</v>
      </c>
      <c r="M29" t="n">
        <v>1890000</v>
      </c>
      <c r="N29" t="inlineStr">
        <is>
          <t>FFO</t>
        </is>
      </c>
      <c r="O29" t="n">
        <v>57663</v>
      </c>
      <c r="P29" t="n">
        <v>3</v>
      </c>
      <c r="Q29" t="n">
        <v>5</v>
      </c>
      <c r="R29" t="inlineStr">
        <is>
          <t>006</t>
        </is>
      </c>
      <c r="S29" t="n">
        <v>1</v>
      </c>
      <c r="T29" t="n">
        <v>0</v>
      </c>
      <c r="U29" t="n">
        <v>100</v>
      </c>
      <c r="V29" t="inlineStr">
        <is>
          <t>E810</t>
        </is>
      </c>
      <c r="W29" t="n">
        <v>1890000</v>
      </c>
      <c r="X29" t="n">
        <v>1890000</v>
      </c>
      <c r="Y29" t="inlineStr">
        <is>
          <t>7093B</t>
        </is>
      </c>
      <c r="Z29" t="inlineStr">
        <is>
          <t>GAVESHA           001001         X</t>
        </is>
      </c>
      <c r="AB29" t="inlineStr">
        <is>
          <t>E810</t>
        </is>
      </c>
      <c r="AC29" t="inlineStr">
        <is>
          <t>E810</t>
        </is>
      </c>
      <c r="AD29" t="inlineStr">
        <is>
          <t xml:space="preserve">EB </t>
        </is>
      </c>
      <c r="AE29" t="inlineStr">
        <is>
          <t>LDS</t>
        </is>
      </c>
      <c r="AF29" t="inlineStr">
        <is>
          <t>BAG</t>
        </is>
      </c>
      <c r="AH29" t="inlineStr">
        <is>
          <t>EVERBEST LADIES BAGS ALMOND FREE SIZE</t>
        </is>
      </c>
      <c r="AI29" t="inlineStr">
        <is>
          <t>16991</t>
        </is>
      </c>
      <c r="AJ29" t="inlineStr">
        <is>
          <t>W9NBZA967645</t>
        </is>
      </c>
      <c r="AL29" t="inlineStr">
        <is>
          <t>ART</t>
        </is>
      </c>
      <c r="AM29" t="inlineStr">
        <is>
          <t xml:space="preserve">   </t>
        </is>
      </c>
      <c r="AO29" t="inlineStr">
        <is>
          <t>HBYY</t>
        </is>
      </c>
      <c r="AP29" t="inlineStr"/>
      <c r="AQ29" t="inlineStr"/>
      <c r="AR29" t="inlineStr"/>
      <c r="AS29" t="inlineStr">
        <is>
          <t>996902081884</t>
        </is>
      </c>
      <c r="AT29" t="inlineStr">
        <is>
          <t>001</t>
        </is>
      </c>
      <c r="AU29" t="inlineStr">
        <is>
          <t>001</t>
        </is>
      </c>
      <c r="AV29" t="inlineStr">
        <is>
          <t xml:space="preserve">   </t>
        </is>
      </c>
      <c r="AW29" t="inlineStr">
        <is>
          <t xml:space="preserve">   </t>
        </is>
      </c>
      <c r="AX29" t="inlineStr">
        <is>
          <t xml:space="preserve">   </t>
        </is>
      </c>
    </row>
    <row r="30">
      <c r="A30" t="n">
        <v>57664</v>
      </c>
      <c r="B30" t="n">
        <v>1</v>
      </c>
      <c r="C30" t="n">
        <v>1890000</v>
      </c>
      <c r="D30" t="inlineStr">
        <is>
          <t>Special Offer</t>
        </is>
      </c>
      <c r="E30" t="n">
        <v>0</v>
      </c>
      <c r="F30" s="2" t="n">
        <v>46284</v>
      </c>
      <c r="G30" t="inlineStr">
        <is>
          <t>GAVESHA</t>
        </is>
      </c>
      <c r="H30" t="inlineStr">
        <is>
          <t>E810</t>
        </is>
      </c>
      <c r="I30" t="n">
        <v>0</v>
      </c>
      <c r="J30" t="n">
        <v>1702703</v>
      </c>
      <c r="K30" t="n">
        <v>1702703</v>
      </c>
      <c r="L30" t="n">
        <v>1890000</v>
      </c>
      <c r="M30" t="n">
        <v>1890000</v>
      </c>
      <c r="N30" t="inlineStr">
        <is>
          <t>FFO</t>
        </is>
      </c>
      <c r="O30" t="n">
        <v>57664</v>
      </c>
      <c r="P30" t="n">
        <v>3</v>
      </c>
      <c r="Q30" t="n">
        <v>3</v>
      </c>
      <c r="R30" t="inlineStr">
        <is>
          <t>006</t>
        </is>
      </c>
      <c r="S30" t="n">
        <v>1</v>
      </c>
      <c r="T30" t="n">
        <v>0</v>
      </c>
      <c r="U30" t="n">
        <v>100</v>
      </c>
      <c r="V30" t="inlineStr">
        <is>
          <t>E810</t>
        </is>
      </c>
      <c r="W30" t="n">
        <v>1890000</v>
      </c>
      <c r="X30" t="n">
        <v>1890000</v>
      </c>
      <c r="Y30" t="inlineStr">
        <is>
          <t>7093B</t>
        </is>
      </c>
      <c r="Z30" t="inlineStr">
        <is>
          <t>GAVESHA           001001         X</t>
        </is>
      </c>
      <c r="AB30" t="inlineStr">
        <is>
          <t>E810</t>
        </is>
      </c>
      <c r="AC30" t="inlineStr">
        <is>
          <t>E810</t>
        </is>
      </c>
      <c r="AD30" t="inlineStr">
        <is>
          <t xml:space="preserve">EB </t>
        </is>
      </c>
      <c r="AE30" t="inlineStr">
        <is>
          <t>LDS</t>
        </is>
      </c>
      <c r="AF30" t="inlineStr">
        <is>
          <t>BAG</t>
        </is>
      </c>
      <c r="AH30" t="inlineStr">
        <is>
          <t>EVERBEST LADIES BAGS ALMOND FREE SIZE</t>
        </is>
      </c>
      <c r="AI30" t="inlineStr">
        <is>
          <t>17152</t>
        </is>
      </c>
      <c r="AJ30" t="inlineStr">
        <is>
          <t>1SPSAP967674</t>
        </is>
      </c>
      <c r="AL30" t="inlineStr">
        <is>
          <t>ART</t>
        </is>
      </c>
      <c r="AM30" t="inlineStr">
        <is>
          <t xml:space="preserve">   </t>
        </is>
      </c>
      <c r="AO30" t="inlineStr">
        <is>
          <t>HBYY</t>
        </is>
      </c>
      <c r="AP30" t="inlineStr"/>
      <c r="AQ30" t="inlineStr"/>
      <c r="AR30" t="inlineStr"/>
      <c r="AS30" t="inlineStr">
        <is>
          <t>996902081884</t>
        </is>
      </c>
      <c r="AT30" t="inlineStr">
        <is>
          <t>001</t>
        </is>
      </c>
      <c r="AU30" t="inlineStr">
        <is>
          <t>001</t>
        </is>
      </c>
      <c r="AV30" t="inlineStr">
        <is>
          <t xml:space="preserve">   </t>
        </is>
      </c>
      <c r="AW30" t="inlineStr">
        <is>
          <t xml:space="preserve">   </t>
        </is>
      </c>
      <c r="AX30" t="inlineStr">
        <is>
          <t xml:space="preserve">   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22"/>
  <sheetViews>
    <sheetView workbookViewId="0">
      <pane xSplit="1" ySplit="5" topLeftCell="B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</cols>
  <sheetData>
    <row r="1">
      <c r="A1" s="3" t="inlineStr">
        <is>
          <t>PROMO RESULT</t>
        </is>
      </c>
    </row>
    <row r="2">
      <c r="A2" s="4" t="inlineStr">
        <is>
          <t>Kolom diskon: Qty = SUM(Quantity), Amount = SUM(Selling Price) per Store x Disc Description (sheet RAW). Total &amp; LW Sales: penjualan brand per toko selama periode promo &amp; periode LW (query sales toko).</t>
        </is>
      </c>
    </row>
    <row r="4">
      <c r="A4" s="5" t="inlineStr">
        <is>
          <t>Store Code</t>
        </is>
      </c>
      <c r="B4" s="5" t="inlineStr">
        <is>
          <t>Special Offer</t>
        </is>
      </c>
      <c r="C4" s="6" t="n"/>
      <c r="D4" s="7" t="inlineStr">
        <is>
          <t>Total (19-19 Sep'26)</t>
        </is>
      </c>
      <c r="E4" s="6" t="n"/>
      <c r="F4" s="7" t="inlineStr">
        <is>
          <t>Stock 7 Sep 2026</t>
        </is>
      </c>
      <c r="G4" s="7" t="inlineStr">
        <is>
          <t>Sellthru</t>
        </is>
      </c>
      <c r="H4" s="7" t="inlineStr">
        <is>
          <t>Cont%</t>
        </is>
      </c>
      <c r="I4" s="7" t="inlineStr">
        <is>
          <t>LW Sales (12-12 Sep'26)</t>
        </is>
      </c>
      <c r="J4" s="6" t="n"/>
      <c r="K4" s="7" t="inlineStr">
        <is>
          <t>Growth%</t>
        </is>
      </c>
    </row>
    <row r="5">
      <c r="B5" s="8" t="inlineStr">
        <is>
          <t>Qty</t>
        </is>
      </c>
      <c r="C5" s="8" t="inlineStr">
        <is>
          <t>Amount</t>
        </is>
      </c>
      <c r="D5" s="8" t="inlineStr">
        <is>
          <t>Qty</t>
        </is>
      </c>
      <c r="E5" s="8" t="inlineStr">
        <is>
          <t>Amount</t>
        </is>
      </c>
      <c r="F5" s="6" t="n"/>
      <c r="G5" s="6" t="n"/>
      <c r="H5" s="6" t="n"/>
      <c r="I5" s="8" t="inlineStr">
        <is>
          <t>Qty</t>
        </is>
      </c>
      <c r="J5" s="8" t="inlineStr">
        <is>
          <t>Amount</t>
        </is>
      </c>
      <c r="K5" s="6" t="n"/>
    </row>
    <row r="6">
      <c r="A6" s="9" t="inlineStr">
        <is>
          <t>E105</t>
        </is>
      </c>
      <c r="B6" s="10">
        <f>SUMIFS(RAW!$B$2:$B$30,RAW!$H$2:$H$30,$A6,RAW!$D$2:$D$30,B$4)</f>
        <v/>
      </c>
      <c r="C6" s="10">
        <f>SUMIFS(RAW!$E$2:$E$30,RAW!$H$2:$H$30,$A6,RAW!$D$2:$D$30,B$4)</f>
        <v/>
      </c>
      <c r="D6" s="11" t="n">
        <v>14</v>
      </c>
      <c r="E6" s="11" t="n">
        <v>17930000</v>
      </c>
      <c r="F6" s="12" t="n"/>
      <c r="G6" s="13">
        <f>D6/F6</f>
        <v/>
      </c>
      <c r="H6" s="13">
        <f>D6/$D$22</f>
        <v/>
      </c>
      <c r="I6" s="10" t="n">
        <v>3</v>
      </c>
      <c r="J6" s="10" t="n">
        <v>6270000</v>
      </c>
      <c r="K6" s="13">
        <f>E6/J6-1</f>
        <v/>
      </c>
    </row>
    <row r="7">
      <c r="A7" s="9" t="inlineStr">
        <is>
          <t>E310</t>
        </is>
      </c>
      <c r="B7" s="10">
        <f>SUMIFS(RAW!$B$2:$B$30,RAW!$H$2:$H$30,$A7,RAW!$D$2:$D$30,B$4)</f>
        <v/>
      </c>
      <c r="C7" s="10">
        <f>SUMIFS(RAW!$E$2:$E$30,RAW!$H$2:$H$30,$A7,RAW!$D$2:$D$30,B$4)</f>
        <v/>
      </c>
      <c r="D7" s="11" t="n">
        <v>14</v>
      </c>
      <c r="E7" s="11" t="n">
        <v>23476000</v>
      </c>
      <c r="F7" s="12" t="n"/>
      <c r="G7" s="13">
        <f>D7/F7</f>
        <v/>
      </c>
      <c r="H7" s="13">
        <f>D7/$D$22</f>
        <v/>
      </c>
      <c r="I7" s="10" t="n">
        <v>5</v>
      </c>
      <c r="J7" s="10" t="n">
        <v>12552000</v>
      </c>
      <c r="K7" s="13">
        <f>E7/J7-1</f>
        <v/>
      </c>
    </row>
    <row r="8">
      <c r="A8" s="9" t="inlineStr">
        <is>
          <t>E425</t>
        </is>
      </c>
      <c r="B8" s="10">
        <f>SUMIFS(RAW!$B$2:$B$30,RAW!$H$2:$H$30,$A8,RAW!$D$2:$D$30,B$4)</f>
        <v/>
      </c>
      <c r="C8" s="10">
        <f>SUMIFS(RAW!$E$2:$E$30,RAW!$H$2:$H$30,$A8,RAW!$D$2:$D$30,B$4)</f>
        <v/>
      </c>
      <c r="D8" s="11" t="n">
        <v>5</v>
      </c>
      <c r="E8" s="11" t="n">
        <v>6862000</v>
      </c>
      <c r="F8" s="12" t="n"/>
      <c r="G8" s="13">
        <f>D8/F8</f>
        <v/>
      </c>
      <c r="H8" s="13">
        <f>D8/$D$22</f>
        <v/>
      </c>
      <c r="I8" s="10" t="n">
        <v>4</v>
      </c>
      <c r="J8" s="10" t="n">
        <v>6692000</v>
      </c>
      <c r="K8" s="13">
        <f>E8/J8-1</f>
        <v/>
      </c>
    </row>
    <row r="9">
      <c r="A9" s="9" t="inlineStr">
        <is>
          <t>E450</t>
        </is>
      </c>
      <c r="B9" s="10">
        <f>SUMIFS(RAW!$B$2:$B$30,RAW!$H$2:$H$30,$A9,RAW!$D$2:$D$30,B$4)</f>
        <v/>
      </c>
      <c r="C9" s="10">
        <f>SUMIFS(RAW!$E$2:$E$30,RAW!$H$2:$H$30,$A9,RAW!$D$2:$D$30,B$4)</f>
        <v/>
      </c>
      <c r="D9" s="11" t="n">
        <v>9</v>
      </c>
      <c r="E9" s="11" t="n">
        <v>8212000</v>
      </c>
      <c r="F9" s="12" t="n"/>
      <c r="G9" s="13">
        <f>D9/F9</f>
        <v/>
      </c>
      <c r="H9" s="13">
        <f>D9/$D$22</f>
        <v/>
      </c>
      <c r="I9" s="10" t="n">
        <v>10</v>
      </c>
      <c r="J9" s="10" t="n">
        <v>11350000</v>
      </c>
      <c r="K9" s="13">
        <f>E9/J9-1</f>
        <v/>
      </c>
    </row>
    <row r="10">
      <c r="A10" s="9" t="inlineStr">
        <is>
          <t>E460</t>
        </is>
      </c>
      <c r="B10" s="10">
        <f>SUMIFS(RAW!$B$2:$B$30,RAW!$H$2:$H$30,$A10,RAW!$D$2:$D$30,B$4)</f>
        <v/>
      </c>
      <c r="C10" s="10">
        <f>SUMIFS(RAW!$E$2:$E$30,RAW!$H$2:$H$30,$A10,RAW!$D$2:$D$30,B$4)</f>
        <v/>
      </c>
      <c r="D10" s="11" t="n">
        <v>9</v>
      </c>
      <c r="E10" s="11" t="n">
        <v>7780000</v>
      </c>
      <c r="F10" s="12" t="n"/>
      <c r="G10" s="13">
        <f>D10/F10</f>
        <v/>
      </c>
      <c r="H10" s="13">
        <f>D10/$D$22</f>
        <v/>
      </c>
      <c r="I10" s="10" t="n">
        <v>12</v>
      </c>
      <c r="J10" s="10" t="n">
        <v>18432000</v>
      </c>
      <c r="K10" s="13">
        <f>E10/J10-1</f>
        <v/>
      </c>
    </row>
    <row r="11">
      <c r="A11" s="9" t="inlineStr">
        <is>
          <t>E552</t>
        </is>
      </c>
      <c r="B11" s="10">
        <f>SUMIFS(RAW!$B$2:$B$30,RAW!$H$2:$H$30,$A11,RAW!$D$2:$D$30,B$4)</f>
        <v/>
      </c>
      <c r="C11" s="10">
        <f>SUMIFS(RAW!$E$2:$E$30,RAW!$H$2:$H$30,$A11,RAW!$D$2:$D$30,B$4)</f>
        <v/>
      </c>
      <c r="D11" s="11" t="n">
        <v>22</v>
      </c>
      <c r="E11" s="11" t="n">
        <v>42246000</v>
      </c>
      <c r="F11" s="12" t="n"/>
      <c r="G11" s="13">
        <f>D11/F11</f>
        <v/>
      </c>
      <c r="H11" s="13">
        <f>D11/$D$22</f>
        <v/>
      </c>
      <c r="I11" s="10" t="n">
        <v>28</v>
      </c>
      <c r="J11" s="10" t="n">
        <v>60504000</v>
      </c>
      <c r="K11" s="13">
        <f>E11/J11-1</f>
        <v/>
      </c>
    </row>
    <row r="12">
      <c r="A12" s="9" t="inlineStr">
        <is>
          <t>E560</t>
        </is>
      </c>
      <c r="B12" s="10">
        <f>SUMIFS(RAW!$B$2:$B$30,RAW!$H$2:$H$30,$A12,RAW!$D$2:$D$30,B$4)</f>
        <v/>
      </c>
      <c r="C12" s="10">
        <f>SUMIFS(RAW!$E$2:$E$30,RAW!$H$2:$H$30,$A12,RAW!$D$2:$D$30,B$4)</f>
        <v/>
      </c>
      <c r="D12" s="11" t="n">
        <v>25</v>
      </c>
      <c r="E12" s="11" t="n">
        <v>39521000</v>
      </c>
      <c r="F12" s="12" t="n"/>
      <c r="G12" s="13">
        <f>D12/F12</f>
        <v/>
      </c>
      <c r="H12" s="13">
        <f>D12/$D$22</f>
        <v/>
      </c>
      <c r="I12" s="10" t="n">
        <v>17</v>
      </c>
      <c r="J12" s="10" t="n">
        <v>28478000</v>
      </c>
      <c r="K12" s="13">
        <f>E12/J12-1</f>
        <v/>
      </c>
    </row>
    <row r="13">
      <c r="A13" s="9" t="inlineStr">
        <is>
          <t>E630</t>
        </is>
      </c>
      <c r="B13" s="10">
        <f>SUMIFS(RAW!$B$2:$B$30,RAW!$H$2:$H$30,$A13,RAW!$D$2:$D$30,B$4)</f>
        <v/>
      </c>
      <c r="C13" s="10">
        <f>SUMIFS(RAW!$E$2:$E$30,RAW!$H$2:$H$30,$A13,RAW!$D$2:$D$30,B$4)</f>
        <v/>
      </c>
      <c r="D13" s="11" t="n">
        <v>15</v>
      </c>
      <c r="E13" s="11" t="n">
        <v>22190000</v>
      </c>
      <c r="F13" s="12" t="n"/>
      <c r="G13" s="13">
        <f>D13/F13</f>
        <v/>
      </c>
      <c r="H13" s="13">
        <f>D13/$D$22</f>
        <v/>
      </c>
      <c r="I13" s="10" t="n">
        <v>13</v>
      </c>
      <c r="J13" s="10" t="n">
        <v>21110000</v>
      </c>
      <c r="K13" s="13">
        <f>E13/J13-1</f>
        <v/>
      </c>
    </row>
    <row r="14">
      <c r="A14" s="9" t="inlineStr">
        <is>
          <t>E640</t>
        </is>
      </c>
      <c r="B14" s="10">
        <f>SUMIFS(RAW!$B$2:$B$30,RAW!$H$2:$H$30,$A14,RAW!$D$2:$D$30,B$4)</f>
        <v/>
      </c>
      <c r="C14" s="10">
        <f>SUMIFS(RAW!$E$2:$E$30,RAW!$H$2:$H$30,$A14,RAW!$D$2:$D$30,B$4)</f>
        <v/>
      </c>
      <c r="D14" s="11" t="n">
        <v>8</v>
      </c>
      <c r="E14" s="11" t="n">
        <v>10850000</v>
      </c>
      <c r="F14" s="12" t="n"/>
      <c r="G14" s="13">
        <f>D14/F14</f>
        <v/>
      </c>
      <c r="H14" s="13">
        <f>D14/$D$22</f>
        <v/>
      </c>
      <c r="I14" s="10" t="n">
        <v>9</v>
      </c>
      <c r="J14" s="10" t="n">
        <v>15202000</v>
      </c>
      <c r="K14" s="13">
        <f>E14/J14-1</f>
        <v/>
      </c>
    </row>
    <row r="15">
      <c r="A15" s="9" t="inlineStr">
        <is>
          <t>E810</t>
        </is>
      </c>
      <c r="B15" s="10">
        <f>SUMIFS(RAW!$B$2:$B$30,RAW!$H$2:$H$30,$A15,RAW!$D$2:$D$30,B$4)</f>
        <v/>
      </c>
      <c r="C15" s="10">
        <f>SUMIFS(RAW!$E$2:$E$30,RAW!$H$2:$H$30,$A15,RAW!$D$2:$D$30,B$4)</f>
        <v/>
      </c>
      <c r="D15" s="11" t="n">
        <v>12</v>
      </c>
      <c r="E15" s="11" t="n">
        <v>22300000</v>
      </c>
      <c r="F15" s="12" t="n"/>
      <c r="G15" s="13">
        <f>D15/F15</f>
        <v/>
      </c>
      <c r="H15" s="13">
        <f>D15/$D$22</f>
        <v/>
      </c>
      <c r="I15" s="10" t="n">
        <v>5</v>
      </c>
      <c r="J15" s="10" t="n">
        <v>7392000</v>
      </c>
      <c r="K15" s="13">
        <f>E15/J15-1</f>
        <v/>
      </c>
    </row>
    <row r="16">
      <c r="A16" s="9" t="inlineStr">
        <is>
          <t>E815</t>
        </is>
      </c>
      <c r="B16" s="10">
        <f>SUMIFS(RAW!$B$2:$B$30,RAW!$H$2:$H$30,$A16,RAW!$D$2:$D$30,B$4)</f>
        <v/>
      </c>
      <c r="C16" s="10">
        <f>SUMIFS(RAW!$E$2:$E$30,RAW!$H$2:$H$30,$A16,RAW!$D$2:$D$30,B$4)</f>
        <v/>
      </c>
      <c r="D16" s="11" t="n">
        <v>15</v>
      </c>
      <c r="E16" s="11" t="n">
        <v>25608000</v>
      </c>
      <c r="F16" s="12" t="n"/>
      <c r="G16" s="13">
        <f>D16/F16</f>
        <v/>
      </c>
      <c r="H16" s="13">
        <f>D16/$D$22</f>
        <v/>
      </c>
      <c r="I16" s="10" t="n">
        <v>8</v>
      </c>
      <c r="J16" s="10" t="n">
        <v>12591300</v>
      </c>
      <c r="K16" s="13">
        <f>E16/J16-1</f>
        <v/>
      </c>
    </row>
    <row r="17">
      <c r="A17" s="9" t="inlineStr">
        <is>
          <t>E820</t>
        </is>
      </c>
      <c r="B17" s="10">
        <f>SUMIFS(RAW!$B$2:$B$30,RAW!$H$2:$H$30,$A17,RAW!$D$2:$D$30,B$4)</f>
        <v/>
      </c>
      <c r="C17" s="10">
        <f>SUMIFS(RAW!$E$2:$E$30,RAW!$H$2:$H$30,$A17,RAW!$D$2:$D$30,B$4)</f>
        <v/>
      </c>
      <c r="D17" s="11" t="n">
        <v>33</v>
      </c>
      <c r="E17" s="11" t="n">
        <v>33562000</v>
      </c>
      <c r="F17" s="12" t="n"/>
      <c r="G17" s="13">
        <f>D17/F17</f>
        <v/>
      </c>
      <c r="H17" s="13">
        <f>D17/$D$22</f>
        <v/>
      </c>
      <c r="I17" s="10" t="n">
        <v>18</v>
      </c>
      <c r="J17" s="10" t="n">
        <v>41820000</v>
      </c>
      <c r="K17" s="13">
        <f>E17/J17-1</f>
        <v/>
      </c>
    </row>
    <row r="18">
      <c r="A18" s="9" t="inlineStr">
        <is>
          <t>E850</t>
        </is>
      </c>
      <c r="B18" s="10">
        <f>SUMIFS(RAW!$B$2:$B$30,RAW!$H$2:$H$30,$A18,RAW!$D$2:$D$30,B$4)</f>
        <v/>
      </c>
      <c r="C18" s="10">
        <f>SUMIFS(RAW!$E$2:$E$30,RAW!$H$2:$H$30,$A18,RAW!$D$2:$D$30,B$4)</f>
        <v/>
      </c>
      <c r="D18" s="11" t="n">
        <v>19</v>
      </c>
      <c r="E18" s="11" t="n">
        <v>24126000</v>
      </c>
      <c r="F18" s="12" t="n"/>
      <c r="G18" s="13">
        <f>D18/F18</f>
        <v/>
      </c>
      <c r="H18" s="13">
        <f>D18/$D$22</f>
        <v/>
      </c>
      <c r="I18" s="10" t="n">
        <v>17</v>
      </c>
      <c r="J18" s="10" t="n">
        <v>35658000</v>
      </c>
      <c r="K18" s="13">
        <f>E18/J18-1</f>
        <v/>
      </c>
    </row>
    <row r="19">
      <c r="A19" s="9" t="inlineStr">
        <is>
          <t>E880</t>
        </is>
      </c>
      <c r="B19" s="10">
        <f>SUMIFS(RAW!$B$2:$B$30,RAW!$H$2:$H$30,$A19,RAW!$D$2:$D$30,B$4)</f>
        <v/>
      </c>
      <c r="C19" s="10">
        <f>SUMIFS(RAW!$E$2:$E$30,RAW!$H$2:$H$30,$A19,RAW!$D$2:$D$30,B$4)</f>
        <v/>
      </c>
      <c r="D19" s="11" t="n">
        <v>16</v>
      </c>
      <c r="E19" s="11" t="n">
        <v>32022000</v>
      </c>
      <c r="F19" s="12" t="n"/>
      <c r="G19" s="13">
        <f>D19/F19</f>
        <v/>
      </c>
      <c r="H19" s="13">
        <f>D19/$D$22</f>
        <v/>
      </c>
      <c r="I19" s="10" t="n">
        <v>20</v>
      </c>
      <c r="J19" s="10" t="n">
        <v>41232000</v>
      </c>
      <c r="K19" s="13">
        <f>E19/J19-1</f>
        <v/>
      </c>
    </row>
    <row r="20">
      <c r="A20" s="9" t="inlineStr">
        <is>
          <t>E942</t>
        </is>
      </c>
      <c r="B20" s="10">
        <f>SUMIFS(RAW!$B$2:$B$30,RAW!$H$2:$H$30,$A20,RAW!$D$2:$D$30,B$4)</f>
        <v/>
      </c>
      <c r="C20" s="10">
        <f>SUMIFS(RAW!$E$2:$E$30,RAW!$H$2:$H$30,$A20,RAW!$D$2:$D$30,B$4)</f>
        <v/>
      </c>
      <c r="D20" s="11" t="n">
        <v>11</v>
      </c>
      <c r="E20" s="11" t="n">
        <v>18102000</v>
      </c>
      <c r="F20" s="12" t="n"/>
      <c r="G20" s="13">
        <f>D20/F20</f>
        <v/>
      </c>
      <c r="H20" s="13">
        <f>D20/$D$22</f>
        <v/>
      </c>
      <c r="I20" s="10" t="n">
        <v>19</v>
      </c>
      <c r="J20" s="10" t="n">
        <v>30260000</v>
      </c>
      <c r="K20" s="13">
        <f>E20/J20-1</f>
        <v/>
      </c>
    </row>
    <row r="21">
      <c r="A21" s="9" t="inlineStr">
        <is>
          <t>E950</t>
        </is>
      </c>
      <c r="B21" s="10">
        <f>SUMIFS(RAW!$B$2:$B$30,RAW!$H$2:$H$30,$A21,RAW!$D$2:$D$30,B$4)</f>
        <v/>
      </c>
      <c r="C21" s="10">
        <f>SUMIFS(RAW!$E$2:$E$30,RAW!$H$2:$H$30,$A21,RAW!$D$2:$D$30,B$4)</f>
        <v/>
      </c>
      <c r="D21" s="11" t="n">
        <v>29</v>
      </c>
      <c r="E21" s="11" t="n">
        <v>47914000</v>
      </c>
      <c r="F21" s="12" t="n"/>
      <c r="G21" s="13">
        <f>D21/F21</f>
        <v/>
      </c>
      <c r="H21" s="13">
        <f>D21/$D$22</f>
        <v/>
      </c>
      <c r="I21" s="10" t="n">
        <v>17</v>
      </c>
      <c r="J21" s="10" t="n">
        <v>42430000</v>
      </c>
      <c r="K21" s="13">
        <f>E21/J21-1</f>
        <v/>
      </c>
    </row>
    <row r="22">
      <c r="A22" s="14" t="inlineStr">
        <is>
          <t>GRAND TOTAL</t>
        </is>
      </c>
      <c r="B22" s="15">
        <f>SUM(B6:B21)</f>
        <v/>
      </c>
      <c r="C22" s="15">
        <f>SUM(C6:C21)</f>
        <v/>
      </c>
      <c r="D22" s="15">
        <f>SUM(D6:D21)</f>
        <v/>
      </c>
      <c r="E22" s="15">
        <f>SUM(E6:E21)</f>
        <v/>
      </c>
      <c r="F22" s="15">
        <f>SUM(F6:F21)</f>
        <v/>
      </c>
      <c r="G22" s="16">
        <f>D22/F22</f>
        <v/>
      </c>
      <c r="H22" s="16">
        <f>1</f>
        <v/>
      </c>
      <c r="I22" s="15">
        <f>SUM(I6:I21)</f>
        <v/>
      </c>
      <c r="J22" s="15">
        <f>SUM(J6:J21)</f>
        <v/>
      </c>
      <c r="K22" s="16">
        <f>E22/J22-1</f>
        <v/>
      </c>
    </row>
  </sheetData>
  <mergeCells count="10">
    <mergeCell ref="I4:J4"/>
    <mergeCell ref="A4:A5"/>
    <mergeCell ref="F4:F5"/>
    <mergeCell ref="G4:G5"/>
    <mergeCell ref="H4:H5"/>
    <mergeCell ref="K4:K5"/>
    <mergeCell ref="A2:K2"/>
    <mergeCell ref="D4:E4"/>
    <mergeCell ref="A1:K1"/>
    <mergeCell ref="B4:C4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2026-09-24T07:21:12Z</dcterms:created>
  <dcterms:modified xmlns:dcterms="http://purl.org/dc/terms/" xmlns:xsi="http://www.w3.org/2001/XMLSchema-instance" xsi:type="dcterms:W3CDTF">2026-09-24T07:21:12Z</dcterms:modified>
</cp:coreProperties>
</file>