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5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</row>
    <row r="2">
      <c r="A2" t="n">
        <v>28940</v>
      </c>
      <c r="B2" t="n">
        <v>1</v>
      </c>
      <c r="C2" t="n">
        <v>2990000</v>
      </c>
      <c r="D2" t="inlineStr">
        <is>
          <t>ADDITIONAL 10%</t>
        </is>
      </c>
      <c r="E2" t="n">
        <v>2691000</v>
      </c>
      <c r="F2" s="2" t="n">
        <v>46264</v>
      </c>
      <c r="G2" t="inlineStr">
        <is>
          <t>JUSELLE</t>
        </is>
      </c>
      <c r="H2" t="inlineStr">
        <is>
          <t>M310</t>
        </is>
      </c>
      <c r="I2" t="n">
        <v>0</v>
      </c>
      <c r="J2" t="n">
        <v>269369</v>
      </c>
      <c r="K2" t="n">
        <v>269369</v>
      </c>
      <c r="L2" t="n">
        <v>299000</v>
      </c>
      <c r="M2" t="n">
        <v>299000</v>
      </c>
      <c r="N2" t="inlineStr">
        <is>
          <t>FFO</t>
        </is>
      </c>
      <c r="O2" t="n">
        <v>28940</v>
      </c>
      <c r="P2" t="n">
        <v>1</v>
      </c>
      <c r="Q2" t="n">
        <v>1</v>
      </c>
      <c r="R2" t="inlineStr">
        <is>
          <t>006</t>
        </is>
      </c>
      <c r="S2" t="n">
        <v>1</v>
      </c>
      <c r="T2" t="n">
        <v>0</v>
      </c>
      <c r="U2" t="n">
        <v>10</v>
      </c>
      <c r="V2" t="inlineStr">
        <is>
          <t>M310</t>
        </is>
      </c>
      <c r="W2" t="n">
        <v>2990000</v>
      </c>
      <c r="X2" t="n">
        <v>2990000</v>
      </c>
      <c r="Y2" t="inlineStr">
        <is>
          <t>7028</t>
        </is>
      </c>
      <c r="Z2" t="inlineStr">
        <is>
          <t>JUSELLE           00Z001         X</t>
        </is>
      </c>
      <c r="AB2" t="inlineStr">
        <is>
          <t>M310</t>
        </is>
      </c>
      <c r="AC2" t="inlineStr">
        <is>
          <t>M310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BAG</t>
        </is>
      </c>
      <c r="AH2" t="inlineStr">
        <is>
          <t>EVERBEST LADIES BAGS TAN FREE SIZE</t>
        </is>
      </c>
      <c r="AI2" t="inlineStr">
        <is>
          <t>15443</t>
        </is>
      </c>
      <c r="AJ2" t="inlineStr">
        <is>
          <t>WLK999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HBYY</t>
        </is>
      </c>
      <c r="AP2" t="inlineStr"/>
      <c r="AR2" t="inlineStr"/>
      <c r="AS2" t="inlineStr">
        <is>
          <t>996902087303</t>
        </is>
      </c>
      <c r="AT2" t="inlineStr">
        <is>
          <t>00Z</t>
        </is>
      </c>
      <c r="AU2" t="inlineStr">
        <is>
          <t>001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</row>
    <row r="3">
      <c r="A3" t="n">
        <v>28939</v>
      </c>
      <c r="B3" t="n">
        <v>1</v>
      </c>
      <c r="C3" t="n">
        <v>1890000</v>
      </c>
      <c r="D3" t="inlineStr">
        <is>
          <t>ADDITIONAL 10%</t>
        </is>
      </c>
      <c r="E3" t="n">
        <v>1701000</v>
      </c>
      <c r="F3" s="2" t="n">
        <v>46263</v>
      </c>
      <c r="G3" t="inlineStr">
        <is>
          <t>LAMIA</t>
        </is>
      </c>
      <c r="H3" t="inlineStr">
        <is>
          <t>M310</t>
        </is>
      </c>
      <c r="I3" t="n">
        <v>0</v>
      </c>
      <c r="J3" t="n">
        <v>170270</v>
      </c>
      <c r="K3" t="n">
        <v>170270</v>
      </c>
      <c r="L3" t="n">
        <v>189000</v>
      </c>
      <c r="M3" t="n">
        <v>189000</v>
      </c>
      <c r="N3" t="inlineStr">
        <is>
          <t>FFO</t>
        </is>
      </c>
      <c r="O3" t="n">
        <v>28939</v>
      </c>
      <c r="P3" t="n">
        <v>1</v>
      </c>
      <c r="Q3" t="n">
        <v>1</v>
      </c>
      <c r="R3" t="inlineStr">
        <is>
          <t>006</t>
        </is>
      </c>
      <c r="S3" t="n">
        <v>1</v>
      </c>
      <c r="T3" t="n">
        <v>0</v>
      </c>
      <c r="U3" t="n">
        <v>10</v>
      </c>
      <c r="V3" t="inlineStr">
        <is>
          <t>M310</t>
        </is>
      </c>
      <c r="W3" t="n">
        <v>1890000</v>
      </c>
      <c r="X3" t="n">
        <v>1890000</v>
      </c>
      <c r="Y3" t="inlineStr">
        <is>
          <t>7028</t>
        </is>
      </c>
      <c r="Z3" t="inlineStr">
        <is>
          <t>LAMIA             00Z001         X</t>
        </is>
      </c>
      <c r="AB3" t="inlineStr">
        <is>
          <t>M310</t>
        </is>
      </c>
      <c r="AC3" t="inlineStr">
        <is>
          <t>M310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SHS</t>
        </is>
      </c>
      <c r="AH3" t="inlineStr">
        <is>
          <t>EVERBEST LADIES SHOES TAN 37</t>
        </is>
      </c>
      <c r="AI3" t="inlineStr">
        <is>
          <t>17294</t>
        </is>
      </c>
      <c r="AJ3" t="inlineStr">
        <is>
          <t>WLK999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JZ</t>
        </is>
      </c>
      <c r="AP3" t="inlineStr"/>
      <c r="AR3" t="inlineStr"/>
      <c r="AS3" t="inlineStr">
        <is>
          <t>996902087524</t>
        </is>
      </c>
      <c r="AT3" t="inlineStr">
        <is>
          <t>00Z</t>
        </is>
      </c>
      <c r="AU3" t="inlineStr">
        <is>
          <t>001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</row>
    <row r="4">
      <c r="A4" t="n">
        <v>3815</v>
      </c>
      <c r="B4" t="n">
        <v>1</v>
      </c>
      <c r="C4" t="n">
        <v>1990000</v>
      </c>
      <c r="D4" t="inlineStr">
        <is>
          <t>ADDITIONAL 10%</t>
        </is>
      </c>
      <c r="E4" t="n">
        <v>1791000</v>
      </c>
      <c r="F4" s="2" t="n">
        <v>46263</v>
      </c>
      <c r="G4" t="inlineStr">
        <is>
          <t>LAURETE</t>
        </is>
      </c>
      <c r="H4" t="inlineStr">
        <is>
          <t>S630</t>
        </is>
      </c>
      <c r="I4" t="n">
        <v>0</v>
      </c>
      <c r="J4" t="n">
        <v>179279</v>
      </c>
      <c r="K4" t="n">
        <v>179279</v>
      </c>
      <c r="L4" t="n">
        <v>199000</v>
      </c>
      <c r="M4" t="n">
        <v>199000</v>
      </c>
      <c r="N4" t="inlineStr">
        <is>
          <t>FFO</t>
        </is>
      </c>
      <c r="O4" t="n">
        <v>3815</v>
      </c>
      <c r="P4" t="n">
        <v>1</v>
      </c>
      <c r="Q4" t="n">
        <v>1</v>
      </c>
      <c r="R4" t="inlineStr">
        <is>
          <t>006</t>
        </is>
      </c>
      <c r="S4" t="n">
        <v>1</v>
      </c>
      <c r="T4" t="n">
        <v>0</v>
      </c>
      <c r="U4" t="n">
        <v>10</v>
      </c>
      <c r="V4" t="inlineStr">
        <is>
          <t>S630</t>
        </is>
      </c>
      <c r="W4" t="n">
        <v>1990000</v>
      </c>
      <c r="X4" t="n">
        <v>1990000</v>
      </c>
      <c r="Y4" t="inlineStr">
        <is>
          <t>7028</t>
        </is>
      </c>
      <c r="Z4" t="inlineStr">
        <is>
          <t>LAURETE           00Z003         X</t>
        </is>
      </c>
      <c r="AB4" t="inlineStr">
        <is>
          <t>S630</t>
        </is>
      </c>
      <c r="AC4" t="inlineStr">
        <is>
          <t>S630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SHS</t>
        </is>
      </c>
      <c r="AH4" t="inlineStr">
        <is>
          <t>EVERBEST LADIES SHOES TAN 38</t>
        </is>
      </c>
      <c r="AI4" t="inlineStr">
        <is>
          <t>14964</t>
        </is>
      </c>
      <c r="AJ4" t="inlineStr">
        <is>
          <t>WLK999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HU</t>
        </is>
      </c>
      <c r="AP4" t="inlineStr"/>
      <c r="AR4" t="inlineStr"/>
      <c r="AS4" t="inlineStr">
        <is>
          <t>996902087415</t>
        </is>
      </c>
      <c r="AT4" t="inlineStr">
        <is>
          <t>00Z</t>
        </is>
      </c>
      <c r="AU4" t="inlineStr">
        <is>
          <t>003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</row>
    <row r="5">
      <c r="A5" t="n">
        <v>36392</v>
      </c>
      <c r="B5" t="n">
        <v>1</v>
      </c>
      <c r="C5" t="n">
        <v>1890000</v>
      </c>
      <c r="D5" t="inlineStr">
        <is>
          <t>ADDITIONAL 10%</t>
        </is>
      </c>
      <c r="E5" t="n">
        <v>1701000</v>
      </c>
      <c r="F5" s="2" t="n">
        <v>46262</v>
      </c>
      <c r="G5" t="inlineStr">
        <is>
          <t>LAMIA</t>
        </is>
      </c>
      <c r="H5" t="inlineStr">
        <is>
          <t>M730</t>
        </is>
      </c>
      <c r="I5" t="n">
        <v>0</v>
      </c>
      <c r="J5" t="n">
        <v>170270</v>
      </c>
      <c r="K5" t="n">
        <v>170270</v>
      </c>
      <c r="L5" t="n">
        <v>189000</v>
      </c>
      <c r="M5" t="n">
        <v>189000</v>
      </c>
      <c r="N5" t="inlineStr">
        <is>
          <t>FFO</t>
        </is>
      </c>
      <c r="O5" t="n">
        <v>36392</v>
      </c>
      <c r="P5" t="n">
        <v>2</v>
      </c>
      <c r="Q5" t="n">
        <v>6</v>
      </c>
      <c r="R5" t="inlineStr">
        <is>
          <t>006</t>
        </is>
      </c>
      <c r="S5" t="n">
        <v>1</v>
      </c>
      <c r="T5" t="n">
        <v>0</v>
      </c>
      <c r="U5" t="n">
        <v>10</v>
      </c>
      <c r="V5" t="inlineStr">
        <is>
          <t>M730</t>
        </is>
      </c>
      <c r="W5" t="n">
        <v>1890000</v>
      </c>
      <c r="X5" t="n">
        <v>1890000</v>
      </c>
      <c r="Y5" t="inlineStr">
        <is>
          <t>7028</t>
        </is>
      </c>
      <c r="Z5" t="inlineStr">
        <is>
          <t>LAMIA             00Z003         X</t>
        </is>
      </c>
      <c r="AB5" t="inlineStr">
        <is>
          <t>M730</t>
        </is>
      </c>
      <c r="AC5" t="inlineStr">
        <is>
          <t>M730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SHS</t>
        </is>
      </c>
      <c r="AH5" t="inlineStr">
        <is>
          <t>EVERBEST LADIES SHOES TAN 38</t>
        </is>
      </c>
      <c r="AI5" t="inlineStr">
        <is>
          <t>16927</t>
        </is>
      </c>
      <c r="AJ5" t="inlineStr">
        <is>
          <t>WLK999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JZ</t>
        </is>
      </c>
      <c r="AP5" t="inlineStr"/>
      <c r="AR5" t="inlineStr"/>
      <c r="AS5" t="inlineStr">
        <is>
          <t>996902087525</t>
        </is>
      </c>
      <c r="AT5" t="inlineStr">
        <is>
          <t>00Z</t>
        </is>
      </c>
      <c r="AU5" t="inlineStr">
        <is>
          <t>003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</row>
    <row r="6">
      <c r="A6" t="n">
        <v>12124</v>
      </c>
      <c r="B6" t="n">
        <v>1</v>
      </c>
      <c r="C6" t="n">
        <v>1990000</v>
      </c>
      <c r="D6" t="inlineStr">
        <is>
          <t>ADDITIONAL 10%</t>
        </is>
      </c>
      <c r="E6" t="n">
        <v>1791000</v>
      </c>
      <c r="F6" s="2" t="n">
        <v>46262</v>
      </c>
      <c r="G6" t="inlineStr">
        <is>
          <t>LAURETE</t>
        </is>
      </c>
      <c r="H6" t="inlineStr">
        <is>
          <t>S330</t>
        </is>
      </c>
      <c r="I6" t="n">
        <v>0</v>
      </c>
      <c r="J6" t="n">
        <v>179279</v>
      </c>
      <c r="K6" t="n">
        <v>179279</v>
      </c>
      <c r="L6" t="n">
        <v>199000</v>
      </c>
      <c r="M6" t="n">
        <v>199000</v>
      </c>
      <c r="N6" t="inlineStr">
        <is>
          <t>FFO</t>
        </is>
      </c>
      <c r="O6" t="n">
        <v>12124</v>
      </c>
      <c r="P6" t="n">
        <v>1</v>
      </c>
      <c r="Q6" t="n">
        <v>1</v>
      </c>
      <c r="R6" t="inlineStr">
        <is>
          <t>006</t>
        </is>
      </c>
      <c r="S6" t="n">
        <v>1</v>
      </c>
      <c r="T6" t="n">
        <v>0</v>
      </c>
      <c r="U6" t="n">
        <v>10</v>
      </c>
      <c r="V6" t="inlineStr">
        <is>
          <t>S330</t>
        </is>
      </c>
      <c r="W6" t="n">
        <v>1990000</v>
      </c>
      <c r="X6" t="n">
        <v>1990000</v>
      </c>
      <c r="Y6" t="inlineStr">
        <is>
          <t>7028</t>
        </is>
      </c>
      <c r="Z6" t="inlineStr">
        <is>
          <t>LAURETE           003008         X</t>
        </is>
      </c>
      <c r="AB6" t="inlineStr">
        <is>
          <t>S330</t>
        </is>
      </c>
      <c r="AC6" t="inlineStr">
        <is>
          <t>S330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SHS</t>
        </is>
      </c>
      <c r="AH6" t="inlineStr">
        <is>
          <t>EVERBEST LADIES SHOES BLACK 39</t>
        </is>
      </c>
      <c r="AI6" t="inlineStr">
        <is>
          <t>16210</t>
        </is>
      </c>
      <c r="AJ6" t="inlineStr">
        <is>
          <t>WLK999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HU</t>
        </is>
      </c>
      <c r="AP6" t="inlineStr"/>
      <c r="AR6" t="inlineStr"/>
      <c r="AS6" t="inlineStr">
        <is>
          <t>996902087424</t>
        </is>
      </c>
      <c r="AT6" t="inlineStr">
        <is>
          <t>003</t>
        </is>
      </c>
      <c r="AU6" t="inlineStr">
        <is>
          <t>008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</row>
    <row r="7">
      <c r="A7" t="n">
        <v>15179</v>
      </c>
      <c r="B7" t="n">
        <v>1</v>
      </c>
      <c r="C7" t="n">
        <v>1990000</v>
      </c>
      <c r="D7" t="inlineStr">
        <is>
          <t>ADDITIONAL 10%</t>
        </is>
      </c>
      <c r="E7" t="n">
        <v>1791000</v>
      </c>
      <c r="F7" s="2" t="n">
        <v>46261</v>
      </c>
      <c r="G7" t="inlineStr">
        <is>
          <t>LOTIE</t>
        </is>
      </c>
      <c r="H7" t="inlineStr">
        <is>
          <t>S230</t>
        </is>
      </c>
      <c r="I7" t="n">
        <v>0</v>
      </c>
      <c r="J7" t="n">
        <v>179279</v>
      </c>
      <c r="K7" t="n">
        <v>179279</v>
      </c>
      <c r="L7" t="n">
        <v>199000</v>
      </c>
      <c r="M7" t="n">
        <v>199000</v>
      </c>
      <c r="N7" t="inlineStr">
        <is>
          <t>FFO</t>
        </is>
      </c>
      <c r="O7" t="n">
        <v>15179</v>
      </c>
      <c r="P7" t="n">
        <v>1</v>
      </c>
      <c r="Q7" t="n">
        <v>4</v>
      </c>
      <c r="R7" t="inlineStr">
        <is>
          <t>006</t>
        </is>
      </c>
      <c r="S7" t="n">
        <v>1</v>
      </c>
      <c r="T7" t="n">
        <v>0</v>
      </c>
      <c r="U7" t="n">
        <v>10</v>
      </c>
      <c r="V7" t="inlineStr">
        <is>
          <t>S230</t>
        </is>
      </c>
      <c r="W7" t="n">
        <v>1990000</v>
      </c>
      <c r="X7" t="n">
        <v>1990000</v>
      </c>
      <c r="Y7" t="inlineStr">
        <is>
          <t>7028</t>
        </is>
      </c>
      <c r="Z7" t="inlineStr">
        <is>
          <t>LOTIE             00Z003         X</t>
        </is>
      </c>
      <c r="AB7" t="inlineStr">
        <is>
          <t>S230</t>
        </is>
      </c>
      <c r="AC7" t="inlineStr">
        <is>
          <t>S230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SHS</t>
        </is>
      </c>
      <c r="AH7" t="inlineStr">
        <is>
          <t>EVERBEST LADIES SHOES TAN 38</t>
        </is>
      </c>
      <c r="AI7" t="inlineStr">
        <is>
          <t>15575</t>
        </is>
      </c>
      <c r="AJ7" t="inlineStr">
        <is>
          <t>WLK999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HU</t>
        </is>
      </c>
      <c r="AP7" t="inlineStr"/>
      <c r="AR7" t="inlineStr"/>
      <c r="AS7" t="inlineStr">
        <is>
          <t>996902087399</t>
        </is>
      </c>
      <c r="AT7" t="inlineStr">
        <is>
          <t>00Z</t>
        </is>
      </c>
      <c r="AU7" t="inlineStr">
        <is>
          <t>003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</row>
    <row r="8">
      <c r="A8" t="n">
        <v>20672</v>
      </c>
      <c r="B8" t="n">
        <v>1</v>
      </c>
      <c r="C8" t="n">
        <v>1890000</v>
      </c>
      <c r="D8" t="inlineStr">
        <is>
          <t>ADDITIONAL 10%</t>
        </is>
      </c>
      <c r="E8" t="n">
        <v>1701000</v>
      </c>
      <c r="F8" s="2" t="n">
        <v>46260</v>
      </c>
      <c r="G8" t="inlineStr">
        <is>
          <t>LAMIA</t>
        </is>
      </c>
      <c r="H8" t="inlineStr">
        <is>
          <t>S820</t>
        </is>
      </c>
      <c r="I8" t="n">
        <v>0</v>
      </c>
      <c r="J8" t="n">
        <v>170270</v>
      </c>
      <c r="K8" t="n">
        <v>170270</v>
      </c>
      <c r="L8" t="n">
        <v>189000</v>
      </c>
      <c r="M8" t="n">
        <v>189000</v>
      </c>
      <c r="N8" t="inlineStr">
        <is>
          <t>FFO</t>
        </is>
      </c>
      <c r="O8" t="n">
        <v>20672</v>
      </c>
      <c r="P8" t="n">
        <v>1</v>
      </c>
      <c r="Q8" t="n">
        <v>1</v>
      </c>
      <c r="R8" t="inlineStr">
        <is>
          <t>006</t>
        </is>
      </c>
      <c r="S8" t="n">
        <v>1</v>
      </c>
      <c r="T8" t="n">
        <v>0</v>
      </c>
      <c r="U8" t="n">
        <v>10</v>
      </c>
      <c r="V8" t="inlineStr">
        <is>
          <t>S820</t>
        </is>
      </c>
      <c r="W8" t="n">
        <v>1890000</v>
      </c>
      <c r="X8" t="n">
        <v>1890000</v>
      </c>
      <c r="Y8" t="inlineStr">
        <is>
          <t>7028</t>
        </is>
      </c>
      <c r="Z8" t="inlineStr">
        <is>
          <t>LAMIA             00Z001         X</t>
        </is>
      </c>
      <c r="AB8" t="inlineStr">
        <is>
          <t>S820</t>
        </is>
      </c>
      <c r="AC8" t="inlineStr">
        <is>
          <t>S820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SHS</t>
        </is>
      </c>
      <c r="AH8" t="inlineStr">
        <is>
          <t>EVERBEST LADIES SHOES TAN 37</t>
        </is>
      </c>
      <c r="AI8" t="inlineStr">
        <is>
          <t>17268</t>
        </is>
      </c>
      <c r="AJ8" t="inlineStr">
        <is>
          <t>WLK999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JZ</t>
        </is>
      </c>
      <c r="AP8" t="inlineStr"/>
      <c r="AR8" t="inlineStr"/>
      <c r="AS8" t="inlineStr">
        <is>
          <t>996902087524</t>
        </is>
      </c>
      <c r="AT8" t="inlineStr">
        <is>
          <t>00Z</t>
        </is>
      </c>
      <c r="AU8" t="inlineStr">
        <is>
          <t>001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</row>
    <row r="9">
      <c r="A9" t="n">
        <v>31580</v>
      </c>
      <c r="B9" t="n">
        <v>1</v>
      </c>
      <c r="C9" t="n">
        <v>2990000</v>
      </c>
      <c r="D9" t="inlineStr">
        <is>
          <t>ADDITIONAL 10%</t>
        </is>
      </c>
      <c r="E9" t="n">
        <v>2691000</v>
      </c>
      <c r="F9" s="2" t="n">
        <v>46260</v>
      </c>
      <c r="G9" t="inlineStr">
        <is>
          <t>JUSELLE</t>
        </is>
      </c>
      <c r="H9" t="inlineStr">
        <is>
          <t>U005</t>
        </is>
      </c>
      <c r="I9" t="n">
        <v>0</v>
      </c>
      <c r="J9" t="n">
        <v>269369</v>
      </c>
      <c r="K9" t="n">
        <v>269369</v>
      </c>
      <c r="L9" t="n">
        <v>299000</v>
      </c>
      <c r="M9" t="n">
        <v>299000</v>
      </c>
      <c r="N9" t="inlineStr">
        <is>
          <t>FFO</t>
        </is>
      </c>
      <c r="O9" t="n">
        <v>31580</v>
      </c>
      <c r="P9" t="n">
        <v>1</v>
      </c>
      <c r="Q9" t="n">
        <v>1</v>
      </c>
      <c r="R9" t="inlineStr">
        <is>
          <t>006</t>
        </is>
      </c>
      <c r="S9" t="n">
        <v>1</v>
      </c>
      <c r="T9" t="n">
        <v>0</v>
      </c>
      <c r="U9" t="n">
        <v>10</v>
      </c>
      <c r="V9" t="inlineStr">
        <is>
          <t>U005</t>
        </is>
      </c>
      <c r="W9" t="n">
        <v>2990000</v>
      </c>
      <c r="X9" t="n">
        <v>2990000</v>
      </c>
      <c r="Y9" t="inlineStr">
        <is>
          <t>7028</t>
        </is>
      </c>
      <c r="Z9" t="inlineStr">
        <is>
          <t>JUSELLE           00Z001         X</t>
        </is>
      </c>
      <c r="AB9" t="inlineStr">
        <is>
          <t>U005</t>
        </is>
      </c>
      <c r="AC9" t="inlineStr">
        <is>
          <t>U005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BAG</t>
        </is>
      </c>
      <c r="AH9" t="inlineStr">
        <is>
          <t>EVERBEST LADIES BAGS TAN FREE SIZE</t>
        </is>
      </c>
      <c r="AI9" t="inlineStr">
        <is>
          <t>16702</t>
        </is>
      </c>
      <c r="AJ9" t="inlineStr">
        <is>
          <t>WLK999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HBYY</t>
        </is>
      </c>
      <c r="AP9" t="inlineStr"/>
      <c r="AR9" t="inlineStr"/>
      <c r="AS9" t="inlineStr">
        <is>
          <t>996902087303</t>
        </is>
      </c>
      <c r="AT9" t="inlineStr">
        <is>
          <t>00Z</t>
        </is>
      </c>
      <c r="AU9" t="inlineStr">
        <is>
          <t>001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</row>
    <row r="10">
      <c r="A10" t="n">
        <v>36386</v>
      </c>
      <c r="B10" t="n">
        <v>1</v>
      </c>
      <c r="C10" t="n">
        <v>1890000</v>
      </c>
      <c r="D10" t="inlineStr">
        <is>
          <t>ADDITIONAL 10%</t>
        </is>
      </c>
      <c r="E10" t="n">
        <v>1701000</v>
      </c>
      <c r="F10" s="2" t="n">
        <v>46260</v>
      </c>
      <c r="G10" t="inlineStr">
        <is>
          <t>LAMIA</t>
        </is>
      </c>
      <c r="H10" t="inlineStr">
        <is>
          <t>M730</t>
        </is>
      </c>
      <c r="I10" t="n">
        <v>0</v>
      </c>
      <c r="J10" t="n">
        <v>170270</v>
      </c>
      <c r="K10" t="n">
        <v>170270</v>
      </c>
      <c r="L10" t="n">
        <v>189000</v>
      </c>
      <c r="M10" t="n">
        <v>189000</v>
      </c>
      <c r="N10" t="inlineStr">
        <is>
          <t>FFO</t>
        </is>
      </c>
      <c r="O10" t="n">
        <v>36386</v>
      </c>
      <c r="P10" t="n">
        <v>1</v>
      </c>
      <c r="Q10" t="n">
        <v>1</v>
      </c>
      <c r="R10" t="inlineStr">
        <is>
          <t>006</t>
        </is>
      </c>
      <c r="S10" t="n">
        <v>1</v>
      </c>
      <c r="T10" t="n">
        <v>0</v>
      </c>
      <c r="U10" t="n">
        <v>10</v>
      </c>
      <c r="V10" t="inlineStr">
        <is>
          <t>M730</t>
        </is>
      </c>
      <c r="W10" t="n">
        <v>1890000</v>
      </c>
      <c r="X10" t="n">
        <v>1890000</v>
      </c>
      <c r="Y10" t="inlineStr">
        <is>
          <t>7028</t>
        </is>
      </c>
      <c r="Z10" t="inlineStr">
        <is>
          <t>LAMIA             00Z001         X</t>
        </is>
      </c>
      <c r="AB10" t="inlineStr">
        <is>
          <t>M730</t>
        </is>
      </c>
      <c r="AC10" t="inlineStr">
        <is>
          <t>M730</t>
        </is>
      </c>
      <c r="AD10" t="inlineStr">
        <is>
          <t xml:space="preserve">EB </t>
        </is>
      </c>
      <c r="AE10" t="inlineStr">
        <is>
          <t>LDS</t>
        </is>
      </c>
      <c r="AF10" t="inlineStr">
        <is>
          <t>SHS</t>
        </is>
      </c>
      <c r="AH10" t="inlineStr">
        <is>
          <t>EVERBEST LADIES SHOES TAN 37</t>
        </is>
      </c>
      <c r="AI10" t="inlineStr">
        <is>
          <t>17096</t>
        </is>
      </c>
      <c r="AJ10" t="inlineStr">
        <is>
          <t>WLK999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JZ</t>
        </is>
      </c>
      <c r="AP10" t="inlineStr"/>
      <c r="AR10" t="inlineStr"/>
      <c r="AS10" t="inlineStr">
        <is>
          <t>996902087524</t>
        </is>
      </c>
      <c r="AT10" t="inlineStr">
        <is>
          <t>00Z</t>
        </is>
      </c>
      <c r="AU10" t="inlineStr">
        <is>
          <t>001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</row>
    <row r="11">
      <c r="A11" t="n">
        <v>36386</v>
      </c>
      <c r="B11" t="n">
        <v>1</v>
      </c>
      <c r="C11" t="n">
        <v>2990000</v>
      </c>
      <c r="D11" t="inlineStr">
        <is>
          <t>ADDITIONAL 10%</t>
        </is>
      </c>
      <c r="E11" t="n">
        <v>2691000</v>
      </c>
      <c r="F11" s="2" t="n">
        <v>46260</v>
      </c>
      <c r="G11" t="inlineStr">
        <is>
          <t>JUSELLE</t>
        </is>
      </c>
      <c r="H11" t="inlineStr">
        <is>
          <t>M730</t>
        </is>
      </c>
      <c r="I11" t="n">
        <v>0</v>
      </c>
      <c r="J11" t="n">
        <v>269369</v>
      </c>
      <c r="K11" t="n">
        <v>269369</v>
      </c>
      <c r="L11" t="n">
        <v>299000</v>
      </c>
      <c r="M11" t="n">
        <v>299000</v>
      </c>
      <c r="N11" t="inlineStr">
        <is>
          <t>FFO</t>
        </is>
      </c>
      <c r="O11" t="n">
        <v>36386</v>
      </c>
      <c r="P11" t="n">
        <v>2</v>
      </c>
      <c r="Q11" t="n">
        <v>2</v>
      </c>
      <c r="R11" t="inlineStr">
        <is>
          <t>006</t>
        </is>
      </c>
      <c r="S11" t="n">
        <v>1</v>
      </c>
      <c r="T11" t="n">
        <v>0</v>
      </c>
      <c r="U11" t="n">
        <v>10</v>
      </c>
      <c r="V11" t="inlineStr">
        <is>
          <t>M730</t>
        </is>
      </c>
      <c r="W11" t="n">
        <v>2990000</v>
      </c>
      <c r="X11" t="n">
        <v>2990000</v>
      </c>
      <c r="Y11" t="inlineStr">
        <is>
          <t>7028</t>
        </is>
      </c>
      <c r="Z11" t="inlineStr">
        <is>
          <t>JUSELLE           00Z001         X</t>
        </is>
      </c>
      <c r="AB11" t="inlineStr">
        <is>
          <t>M730</t>
        </is>
      </c>
      <c r="AC11" t="inlineStr">
        <is>
          <t>M730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BAG</t>
        </is>
      </c>
      <c r="AH11" t="inlineStr">
        <is>
          <t>EVERBEST LADIES BAGS TAN FREE SIZE</t>
        </is>
      </c>
      <c r="AI11" t="inlineStr">
        <is>
          <t>17096</t>
        </is>
      </c>
      <c r="AJ11" t="inlineStr">
        <is>
          <t>WLK999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HBYY</t>
        </is>
      </c>
      <c r="AP11" t="inlineStr"/>
      <c r="AR11" t="inlineStr"/>
      <c r="AS11" t="inlineStr">
        <is>
          <t>996902087303</t>
        </is>
      </c>
      <c r="AT11" t="inlineStr">
        <is>
          <t>00Z</t>
        </is>
      </c>
      <c r="AU11" t="inlineStr">
        <is>
          <t>001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</row>
    <row r="12">
      <c r="A12" t="n">
        <v>16200</v>
      </c>
      <c r="B12" t="n">
        <v>1</v>
      </c>
      <c r="C12" t="n">
        <v>1890000</v>
      </c>
      <c r="D12" t="inlineStr">
        <is>
          <t>ADDITIONAL 10%</t>
        </is>
      </c>
      <c r="E12" t="n">
        <v>1701000</v>
      </c>
      <c r="F12" s="2" t="n">
        <v>46259</v>
      </c>
      <c r="G12" t="inlineStr">
        <is>
          <t>LAMIA</t>
        </is>
      </c>
      <c r="H12" t="inlineStr">
        <is>
          <t>S610</t>
        </is>
      </c>
      <c r="I12" t="n">
        <v>0</v>
      </c>
      <c r="J12" t="n">
        <v>170270</v>
      </c>
      <c r="K12" t="n">
        <v>170270</v>
      </c>
      <c r="L12" t="n">
        <v>189000</v>
      </c>
      <c r="M12" t="n">
        <v>189000</v>
      </c>
      <c r="N12" t="inlineStr">
        <is>
          <t>FFO</t>
        </is>
      </c>
      <c r="O12" t="n">
        <v>16200</v>
      </c>
      <c r="P12" t="n">
        <v>1</v>
      </c>
      <c r="Q12" t="n">
        <v>1</v>
      </c>
      <c r="R12" t="inlineStr">
        <is>
          <t>006</t>
        </is>
      </c>
      <c r="S12" t="n">
        <v>1</v>
      </c>
      <c r="T12" t="n">
        <v>0</v>
      </c>
      <c r="U12" t="n">
        <v>10</v>
      </c>
      <c r="V12" t="inlineStr">
        <is>
          <t>S610</t>
        </is>
      </c>
      <c r="W12" t="n">
        <v>1890000</v>
      </c>
      <c r="X12" t="n">
        <v>1890000</v>
      </c>
      <c r="Y12" t="inlineStr">
        <is>
          <t>7028</t>
        </is>
      </c>
      <c r="Z12" t="inlineStr">
        <is>
          <t>LAMIA             003008         X</t>
        </is>
      </c>
      <c r="AB12" t="inlineStr">
        <is>
          <t>S610</t>
        </is>
      </c>
      <c r="AC12" t="inlineStr">
        <is>
          <t>S610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SHS</t>
        </is>
      </c>
      <c r="AH12" t="inlineStr">
        <is>
          <t>EVERBEST LADIES SHOES BLACK 39</t>
        </is>
      </c>
      <c r="AI12" t="inlineStr">
        <is>
          <t>16372</t>
        </is>
      </c>
      <c r="AJ12" t="inlineStr">
        <is>
          <t>WLK999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JZ</t>
        </is>
      </c>
      <c r="AP12" t="inlineStr"/>
      <c r="AR12" t="inlineStr"/>
      <c r="AS12" t="inlineStr">
        <is>
          <t>996902087519</t>
        </is>
      </c>
      <c r="AT12" t="inlineStr">
        <is>
          <t>003</t>
        </is>
      </c>
      <c r="AU12" t="inlineStr">
        <is>
          <t>008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</row>
    <row r="13">
      <c r="A13" t="n">
        <v>16203</v>
      </c>
      <c r="B13" t="n">
        <v>1</v>
      </c>
      <c r="C13" t="n">
        <v>1990000</v>
      </c>
      <c r="D13" t="inlineStr">
        <is>
          <t>ADDITIONAL 10%</t>
        </is>
      </c>
      <c r="E13" t="n">
        <v>1791000</v>
      </c>
      <c r="F13" s="2" t="n">
        <v>46259</v>
      </c>
      <c r="G13" t="inlineStr">
        <is>
          <t>LOTIE</t>
        </is>
      </c>
      <c r="H13" t="inlineStr">
        <is>
          <t>S610</t>
        </is>
      </c>
      <c r="I13" t="n">
        <v>0</v>
      </c>
      <c r="J13" t="n">
        <v>179279</v>
      </c>
      <c r="K13" t="n">
        <v>179279</v>
      </c>
      <c r="L13" t="n">
        <v>199000</v>
      </c>
      <c r="M13" t="n">
        <v>199000</v>
      </c>
      <c r="N13" t="inlineStr">
        <is>
          <t>FFO</t>
        </is>
      </c>
      <c r="O13" t="n">
        <v>16203</v>
      </c>
      <c r="P13" t="n">
        <v>1</v>
      </c>
      <c r="Q13" t="n">
        <v>1</v>
      </c>
      <c r="R13" t="inlineStr">
        <is>
          <t>006</t>
        </is>
      </c>
      <c r="S13" t="n">
        <v>1</v>
      </c>
      <c r="T13" t="n">
        <v>0</v>
      </c>
      <c r="U13" t="n">
        <v>10</v>
      </c>
      <c r="V13" t="inlineStr">
        <is>
          <t>S610</t>
        </is>
      </c>
      <c r="W13" t="n">
        <v>1990000</v>
      </c>
      <c r="X13" t="n">
        <v>1990000</v>
      </c>
      <c r="Y13" t="inlineStr">
        <is>
          <t>7028</t>
        </is>
      </c>
      <c r="Z13" t="inlineStr">
        <is>
          <t>LOTIE             003001         X</t>
        </is>
      </c>
      <c r="AB13" t="inlineStr">
        <is>
          <t>S610</t>
        </is>
      </c>
      <c r="AC13" t="inlineStr">
        <is>
          <t>S610</t>
        </is>
      </c>
      <c r="AD13" t="inlineStr">
        <is>
          <t xml:space="preserve">EB </t>
        </is>
      </c>
      <c r="AE13" t="inlineStr">
        <is>
          <t>LDS</t>
        </is>
      </c>
      <c r="AF13" t="inlineStr">
        <is>
          <t>SHS</t>
        </is>
      </c>
      <c r="AH13" t="inlineStr">
        <is>
          <t>EVERBEST LADIES SHOES BLACK 37</t>
        </is>
      </c>
      <c r="AI13" t="inlineStr">
        <is>
          <t>16939</t>
        </is>
      </c>
      <c r="AJ13" t="inlineStr">
        <is>
          <t>WLK999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HU</t>
        </is>
      </c>
      <c r="AP13" t="inlineStr"/>
      <c r="AR13" t="inlineStr"/>
      <c r="AS13" t="inlineStr">
        <is>
          <t>996902087406</t>
        </is>
      </c>
      <c r="AT13" t="inlineStr">
        <is>
          <t>003</t>
        </is>
      </c>
      <c r="AU13" t="inlineStr">
        <is>
          <t>001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</row>
    <row r="14">
      <c r="A14" t="n">
        <v>16204</v>
      </c>
      <c r="B14" t="n">
        <v>1</v>
      </c>
      <c r="C14" t="n">
        <v>3190000</v>
      </c>
      <c r="D14" t="inlineStr">
        <is>
          <t>ADDITIONAL 10%</t>
        </is>
      </c>
      <c r="E14" t="n">
        <v>2871000</v>
      </c>
      <c r="F14" s="2" t="n">
        <v>46259</v>
      </c>
      <c r="G14" t="inlineStr">
        <is>
          <t>JOYCEE</t>
        </is>
      </c>
      <c r="H14" t="inlineStr">
        <is>
          <t>S610</t>
        </is>
      </c>
      <c r="I14" t="n">
        <v>0</v>
      </c>
      <c r="J14" t="n">
        <v>287387</v>
      </c>
      <c r="K14" t="n">
        <v>287387</v>
      </c>
      <c r="L14" t="n">
        <v>319000</v>
      </c>
      <c r="M14" t="n">
        <v>319000</v>
      </c>
      <c r="N14" t="inlineStr">
        <is>
          <t>FFO</t>
        </is>
      </c>
      <c r="O14" t="n">
        <v>16204</v>
      </c>
      <c r="P14" t="n">
        <v>1</v>
      </c>
      <c r="Q14" t="n">
        <v>1</v>
      </c>
      <c r="R14" t="inlineStr">
        <is>
          <t>006</t>
        </is>
      </c>
      <c r="S14" t="n">
        <v>1</v>
      </c>
      <c r="T14" t="n">
        <v>0</v>
      </c>
      <c r="U14" t="n">
        <v>10</v>
      </c>
      <c r="V14" t="inlineStr">
        <is>
          <t>S610</t>
        </is>
      </c>
      <c r="W14" t="n">
        <v>3190000</v>
      </c>
      <c r="X14" t="n">
        <v>3190000</v>
      </c>
      <c r="Y14" t="inlineStr">
        <is>
          <t>7028</t>
        </is>
      </c>
      <c r="Z14" t="inlineStr">
        <is>
          <t>JOYCEE            00Z001         X</t>
        </is>
      </c>
      <c r="AB14" t="inlineStr">
        <is>
          <t>S610</t>
        </is>
      </c>
      <c r="AC14" t="inlineStr">
        <is>
          <t>S610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BAG</t>
        </is>
      </c>
      <c r="AH14" t="inlineStr">
        <is>
          <t>EVERBEST LADIES BAGS TAN FREE SIZE</t>
        </is>
      </c>
      <c r="AI14" t="inlineStr">
        <is>
          <t>16939</t>
        </is>
      </c>
      <c r="AJ14" t="inlineStr">
        <is>
          <t>WLK999</t>
        </is>
      </c>
      <c r="AL14" t="inlineStr">
        <is>
          <t>ART</t>
        </is>
      </c>
      <c r="AM14" t="inlineStr">
        <is>
          <t xml:space="preserve">   </t>
        </is>
      </c>
      <c r="AO14" t="inlineStr">
        <is>
          <t>HBYY</t>
        </is>
      </c>
      <c r="AP14" t="inlineStr"/>
      <c r="AR14" t="inlineStr"/>
      <c r="AS14" t="inlineStr">
        <is>
          <t>996902087305</t>
        </is>
      </c>
      <c r="AT14" t="inlineStr">
        <is>
          <t>00Z</t>
        </is>
      </c>
      <c r="AU14" t="inlineStr">
        <is>
          <t>001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</row>
    <row r="15">
      <c r="A15" t="n">
        <v>22341</v>
      </c>
      <c r="B15" t="n">
        <v>1</v>
      </c>
      <c r="C15" t="n">
        <v>2590000</v>
      </c>
      <c r="D15" t="inlineStr">
        <is>
          <t>ADDITIONAL 10%</t>
        </is>
      </c>
      <c r="E15" t="n">
        <v>2331000</v>
      </c>
      <c r="F15" s="2" t="n">
        <v>46259</v>
      </c>
      <c r="G15" t="inlineStr">
        <is>
          <t>JENNELE</t>
        </is>
      </c>
      <c r="H15" t="inlineStr">
        <is>
          <t>S220</t>
        </is>
      </c>
      <c r="I15" t="n">
        <v>0</v>
      </c>
      <c r="J15" t="n">
        <v>233333</v>
      </c>
      <c r="K15" t="n">
        <v>233333</v>
      </c>
      <c r="L15" t="n">
        <v>259000</v>
      </c>
      <c r="M15" t="n">
        <v>259000</v>
      </c>
      <c r="N15" t="inlineStr">
        <is>
          <t>FFO</t>
        </is>
      </c>
      <c r="O15" t="n">
        <v>22341</v>
      </c>
      <c r="P15" t="n">
        <v>1</v>
      </c>
      <c r="Q15" t="n">
        <v>1</v>
      </c>
      <c r="R15" t="inlineStr">
        <is>
          <t>006</t>
        </is>
      </c>
      <c r="S15" t="n">
        <v>1</v>
      </c>
      <c r="T15" t="n">
        <v>0</v>
      </c>
      <c r="U15" t="n">
        <v>10</v>
      </c>
      <c r="V15" t="inlineStr">
        <is>
          <t>S220</t>
        </is>
      </c>
      <c r="W15" t="n">
        <v>2590000</v>
      </c>
      <c r="X15" t="n">
        <v>2590000</v>
      </c>
      <c r="Y15" t="inlineStr">
        <is>
          <t>7028</t>
        </is>
      </c>
      <c r="Z15" t="inlineStr">
        <is>
          <t>JENNELE           00Z001         X</t>
        </is>
      </c>
      <c r="AB15" t="inlineStr">
        <is>
          <t>S220</t>
        </is>
      </c>
      <c r="AC15" t="inlineStr">
        <is>
          <t>S220</t>
        </is>
      </c>
      <c r="AD15" t="inlineStr">
        <is>
          <t xml:space="preserve">EB </t>
        </is>
      </c>
      <c r="AE15" t="inlineStr">
        <is>
          <t>LDS</t>
        </is>
      </c>
      <c r="AF15" t="inlineStr">
        <is>
          <t>BAG</t>
        </is>
      </c>
      <c r="AH15" t="inlineStr">
        <is>
          <t>EVERBEST LADIES BAGS TAN FREE SIZE</t>
        </is>
      </c>
      <c r="AI15" t="inlineStr">
        <is>
          <t>16143</t>
        </is>
      </c>
      <c r="AJ15" t="inlineStr">
        <is>
          <t>WLK999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HBYY</t>
        </is>
      </c>
      <c r="AP15" t="inlineStr"/>
      <c r="AR15" t="inlineStr"/>
      <c r="AS15" t="inlineStr">
        <is>
          <t>996902087512</t>
        </is>
      </c>
      <c r="AT15" t="inlineStr">
        <is>
          <t>00Z</t>
        </is>
      </c>
      <c r="AU15" t="inlineStr">
        <is>
          <t>001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</row>
    <row r="16">
      <c r="A16" t="n">
        <v>21747</v>
      </c>
      <c r="B16" t="n">
        <v>1</v>
      </c>
      <c r="C16" t="n">
        <v>1890000</v>
      </c>
      <c r="D16" t="inlineStr">
        <is>
          <t>ADDITIONAL 10%</t>
        </is>
      </c>
      <c r="E16" t="n">
        <v>1701000</v>
      </c>
      <c r="F16" s="2" t="n">
        <v>46259</v>
      </c>
      <c r="G16" t="inlineStr">
        <is>
          <t>LAMIA</t>
        </is>
      </c>
      <c r="H16" t="inlineStr">
        <is>
          <t>M010</t>
        </is>
      </c>
      <c r="I16" t="n">
        <v>0</v>
      </c>
      <c r="J16" t="n">
        <v>170270</v>
      </c>
      <c r="K16" t="n">
        <v>170270</v>
      </c>
      <c r="L16" t="n">
        <v>189000</v>
      </c>
      <c r="M16" t="n">
        <v>189000</v>
      </c>
      <c r="N16" t="inlineStr">
        <is>
          <t>FFO</t>
        </is>
      </c>
      <c r="O16" t="n">
        <v>21747</v>
      </c>
      <c r="P16" t="n">
        <v>1</v>
      </c>
      <c r="Q16" t="n">
        <v>1</v>
      </c>
      <c r="R16" t="inlineStr">
        <is>
          <t>006</t>
        </is>
      </c>
      <c r="S16" t="n">
        <v>1</v>
      </c>
      <c r="T16" t="n">
        <v>0</v>
      </c>
      <c r="U16" t="n">
        <v>10</v>
      </c>
      <c r="V16" t="inlineStr">
        <is>
          <t>M010</t>
        </is>
      </c>
      <c r="W16" t="n">
        <v>1890000</v>
      </c>
      <c r="X16" t="n">
        <v>1890000</v>
      </c>
      <c r="Y16" t="inlineStr">
        <is>
          <t>7028</t>
        </is>
      </c>
      <c r="Z16" t="inlineStr">
        <is>
          <t>LAMIA             00Z002         X</t>
        </is>
      </c>
      <c r="AB16" t="inlineStr">
        <is>
          <t>M010</t>
        </is>
      </c>
      <c r="AC16" t="inlineStr">
        <is>
          <t>M010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SHS</t>
        </is>
      </c>
      <c r="AH16" t="inlineStr">
        <is>
          <t>EVERBEST LADIES SHOES TAN 35</t>
        </is>
      </c>
      <c r="AI16" t="inlineStr">
        <is>
          <t>17234</t>
        </is>
      </c>
      <c r="AJ16" t="inlineStr">
        <is>
          <t>WLK999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JZ</t>
        </is>
      </c>
      <c r="AP16" t="inlineStr"/>
      <c r="AR16" t="inlineStr"/>
      <c r="AS16" t="inlineStr">
        <is>
          <t>996902087522</t>
        </is>
      </c>
      <c r="AT16" t="inlineStr">
        <is>
          <t>00Z</t>
        </is>
      </c>
      <c r="AU16" t="inlineStr">
        <is>
          <t>002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</row>
    <row r="17">
      <c r="A17" t="n">
        <v>15169</v>
      </c>
      <c r="B17" t="n">
        <v>1</v>
      </c>
      <c r="C17" t="n">
        <v>1890000</v>
      </c>
      <c r="D17" t="inlineStr">
        <is>
          <t>ADDITIONAL 10%</t>
        </is>
      </c>
      <c r="E17" t="n">
        <v>1701000</v>
      </c>
      <c r="F17" s="2" t="n">
        <v>46258</v>
      </c>
      <c r="G17" t="inlineStr">
        <is>
          <t>LAMIA</t>
        </is>
      </c>
      <c r="H17" t="inlineStr">
        <is>
          <t>S230</t>
        </is>
      </c>
      <c r="I17" t="n">
        <v>0</v>
      </c>
      <c r="J17" t="n">
        <v>170270</v>
      </c>
      <c r="K17" t="n">
        <v>170270</v>
      </c>
      <c r="L17" t="n">
        <v>189000</v>
      </c>
      <c r="M17" t="n">
        <v>189000</v>
      </c>
      <c r="N17" t="inlineStr">
        <is>
          <t>FFO</t>
        </is>
      </c>
      <c r="O17" t="n">
        <v>15169</v>
      </c>
      <c r="P17" t="n">
        <v>1</v>
      </c>
      <c r="Q17" t="n">
        <v>1</v>
      </c>
      <c r="R17" t="inlineStr">
        <is>
          <t>006</t>
        </is>
      </c>
      <c r="S17" t="n">
        <v>1</v>
      </c>
      <c r="T17" t="n">
        <v>0</v>
      </c>
      <c r="U17" t="n">
        <v>10</v>
      </c>
      <c r="V17" t="inlineStr">
        <is>
          <t>S230</t>
        </is>
      </c>
      <c r="W17" t="n">
        <v>1890000</v>
      </c>
      <c r="X17" t="n">
        <v>1890000</v>
      </c>
      <c r="Y17" t="inlineStr">
        <is>
          <t>7028</t>
        </is>
      </c>
      <c r="Z17" t="inlineStr">
        <is>
          <t>LAMIA             00Z008         X</t>
        </is>
      </c>
      <c r="AB17" t="inlineStr">
        <is>
          <t>S230</t>
        </is>
      </c>
      <c r="AC17" t="inlineStr">
        <is>
          <t>S230</t>
        </is>
      </c>
      <c r="AD17" t="inlineStr">
        <is>
          <t xml:space="preserve">EB </t>
        </is>
      </c>
      <c r="AE17" t="inlineStr">
        <is>
          <t>LDS</t>
        </is>
      </c>
      <c r="AF17" t="inlineStr">
        <is>
          <t>SHS</t>
        </is>
      </c>
      <c r="AH17" t="inlineStr">
        <is>
          <t>EVERBEST LADIES SHOES TAN 39</t>
        </is>
      </c>
      <c r="AI17" t="inlineStr">
        <is>
          <t>16128</t>
        </is>
      </c>
      <c r="AJ17" t="inlineStr">
        <is>
          <t>WLK999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JZ</t>
        </is>
      </c>
      <c r="AP17" t="inlineStr"/>
      <c r="AR17" t="inlineStr"/>
      <c r="AS17" t="inlineStr">
        <is>
          <t>996902087526</t>
        </is>
      </c>
      <c r="AT17" t="inlineStr">
        <is>
          <t>00Z</t>
        </is>
      </c>
      <c r="AU17" t="inlineStr">
        <is>
          <t>008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</row>
    <row r="18">
      <c r="A18" t="n">
        <v>24758</v>
      </c>
      <c r="B18" t="n">
        <v>1</v>
      </c>
      <c r="C18" t="n">
        <v>1990000</v>
      </c>
      <c r="D18" t="inlineStr">
        <is>
          <t>ADDITIONAL 10%</t>
        </is>
      </c>
      <c r="E18" t="n">
        <v>1791000</v>
      </c>
      <c r="F18" s="2" t="n">
        <v>46257</v>
      </c>
      <c r="G18" t="inlineStr">
        <is>
          <t>LOTIE</t>
        </is>
      </c>
      <c r="H18" t="inlineStr">
        <is>
          <t>G060</t>
        </is>
      </c>
      <c r="I18" t="n">
        <v>0</v>
      </c>
      <c r="J18" t="n">
        <v>179279</v>
      </c>
      <c r="K18" t="n">
        <v>179279</v>
      </c>
      <c r="L18" t="n">
        <v>199000</v>
      </c>
      <c r="M18" t="n">
        <v>199000</v>
      </c>
      <c r="N18" t="inlineStr">
        <is>
          <t>FFO</t>
        </is>
      </c>
      <c r="O18" t="n">
        <v>24758</v>
      </c>
      <c r="P18" t="n">
        <v>1</v>
      </c>
      <c r="Q18" t="n">
        <v>1</v>
      </c>
      <c r="R18" t="inlineStr">
        <is>
          <t>006</t>
        </is>
      </c>
      <c r="S18" t="n">
        <v>1</v>
      </c>
      <c r="T18" t="n">
        <v>0</v>
      </c>
      <c r="U18" t="n">
        <v>10</v>
      </c>
      <c r="V18" t="inlineStr">
        <is>
          <t>G060</t>
        </is>
      </c>
      <c r="W18" t="n">
        <v>1990000</v>
      </c>
      <c r="X18" t="n">
        <v>1990000</v>
      </c>
      <c r="Y18" t="inlineStr">
        <is>
          <t>7028</t>
        </is>
      </c>
      <c r="Z18" t="inlineStr">
        <is>
          <t>LOTIE             00Z008         X</t>
        </is>
      </c>
      <c r="AB18" t="inlineStr">
        <is>
          <t>G060</t>
        </is>
      </c>
      <c r="AC18" t="inlineStr">
        <is>
          <t>G060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SHS</t>
        </is>
      </c>
      <c r="AH18" t="inlineStr">
        <is>
          <t>EVERBEST LADIES SHOES TAN 39</t>
        </is>
      </c>
      <c r="AI18" t="inlineStr">
        <is>
          <t>15471</t>
        </is>
      </c>
      <c r="AJ18" t="inlineStr">
        <is>
          <t>WLK999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HU</t>
        </is>
      </c>
      <c r="AP18" t="inlineStr"/>
      <c r="AR18" t="inlineStr"/>
      <c r="AS18" t="inlineStr">
        <is>
          <t>996902087400</t>
        </is>
      </c>
      <c r="AT18" t="inlineStr">
        <is>
          <t>00Z</t>
        </is>
      </c>
      <c r="AU18" t="inlineStr">
        <is>
          <t>008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</row>
    <row r="19">
      <c r="A19" t="n">
        <v>36379</v>
      </c>
      <c r="B19" t="n">
        <v>1</v>
      </c>
      <c r="C19" t="n">
        <v>3290000</v>
      </c>
      <c r="D19" t="inlineStr">
        <is>
          <t>ADDITIONAL 10%</t>
        </is>
      </c>
      <c r="E19" t="n">
        <v>2961000</v>
      </c>
      <c r="F19" s="2" t="n">
        <v>46257</v>
      </c>
      <c r="G19" t="inlineStr">
        <is>
          <t>JACHEL</t>
        </is>
      </c>
      <c r="H19" t="inlineStr">
        <is>
          <t>M730</t>
        </is>
      </c>
      <c r="I19" t="n">
        <v>0</v>
      </c>
      <c r="J19" t="n">
        <v>296396</v>
      </c>
      <c r="K19" t="n">
        <v>296396</v>
      </c>
      <c r="L19" t="n">
        <v>329000</v>
      </c>
      <c r="M19" t="n">
        <v>329000</v>
      </c>
      <c r="N19" t="inlineStr">
        <is>
          <t>FFO</t>
        </is>
      </c>
      <c r="O19" t="n">
        <v>36379</v>
      </c>
      <c r="P19" t="n">
        <v>1</v>
      </c>
      <c r="Q19" t="n">
        <v>3</v>
      </c>
      <c r="R19" t="inlineStr">
        <is>
          <t>006</t>
        </is>
      </c>
      <c r="S19" t="n">
        <v>1</v>
      </c>
      <c r="T19" t="n">
        <v>0</v>
      </c>
      <c r="U19" t="n">
        <v>10</v>
      </c>
      <c r="V19" t="inlineStr">
        <is>
          <t>M730</t>
        </is>
      </c>
      <c r="W19" t="n">
        <v>3290000</v>
      </c>
      <c r="X19" t="n">
        <v>3290000</v>
      </c>
      <c r="Y19" t="inlineStr">
        <is>
          <t>7028</t>
        </is>
      </c>
      <c r="Z19" t="inlineStr">
        <is>
          <t>JACHEL            003001         X</t>
        </is>
      </c>
      <c r="AB19" t="inlineStr">
        <is>
          <t>M730</t>
        </is>
      </c>
      <c r="AC19" t="inlineStr">
        <is>
          <t>M730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BAG</t>
        </is>
      </c>
      <c r="AH19" t="inlineStr">
        <is>
          <t>EVERBEST LADIES BAGS BLACK FREE SIZE</t>
        </is>
      </c>
      <c r="AI19" t="inlineStr">
        <is>
          <t>17096</t>
        </is>
      </c>
      <c r="AJ19" t="inlineStr">
        <is>
          <t>WLK999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HBYY</t>
        </is>
      </c>
      <c r="AP19" t="inlineStr"/>
      <c r="AR19" t="inlineStr"/>
      <c r="AS19" t="inlineStr">
        <is>
          <t>996902086770</t>
        </is>
      </c>
      <c r="AT19" t="inlineStr">
        <is>
          <t>003</t>
        </is>
      </c>
      <c r="AU19" t="inlineStr">
        <is>
          <t>001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</row>
    <row r="20">
      <c r="A20" t="n">
        <v>16195</v>
      </c>
      <c r="B20" t="n">
        <v>1</v>
      </c>
      <c r="C20" t="n">
        <v>1890000</v>
      </c>
      <c r="D20" t="inlineStr">
        <is>
          <t>ADDITIONAL 10%</t>
        </is>
      </c>
      <c r="E20" t="n">
        <v>1701000</v>
      </c>
      <c r="F20" s="2" t="n">
        <v>46257</v>
      </c>
      <c r="G20" t="inlineStr">
        <is>
          <t>LAMIA</t>
        </is>
      </c>
      <c r="H20" t="inlineStr">
        <is>
          <t>S610</t>
        </is>
      </c>
      <c r="I20" t="n">
        <v>0</v>
      </c>
      <c r="J20" t="n">
        <v>170270</v>
      </c>
      <c r="K20" t="n">
        <v>170270</v>
      </c>
      <c r="L20" t="n">
        <v>189000</v>
      </c>
      <c r="M20" t="n">
        <v>189000</v>
      </c>
      <c r="N20" t="inlineStr">
        <is>
          <t>FFO</t>
        </is>
      </c>
      <c r="O20" t="n">
        <v>16195</v>
      </c>
      <c r="P20" t="n">
        <v>1</v>
      </c>
      <c r="Q20" t="n">
        <v>1</v>
      </c>
      <c r="R20" t="inlineStr">
        <is>
          <t>006</t>
        </is>
      </c>
      <c r="S20" t="n">
        <v>1</v>
      </c>
      <c r="T20" t="n">
        <v>0</v>
      </c>
      <c r="U20" t="n">
        <v>10</v>
      </c>
      <c r="V20" t="inlineStr">
        <is>
          <t>S610</t>
        </is>
      </c>
      <c r="W20" t="n">
        <v>1890000</v>
      </c>
      <c r="X20" t="n">
        <v>1890000</v>
      </c>
      <c r="Y20" t="inlineStr">
        <is>
          <t>7028</t>
        </is>
      </c>
      <c r="Z20" t="inlineStr">
        <is>
          <t>LAMIA             003007         X</t>
        </is>
      </c>
      <c r="AB20" t="inlineStr">
        <is>
          <t>S610</t>
        </is>
      </c>
      <c r="AC20" t="inlineStr">
        <is>
          <t>S610</t>
        </is>
      </c>
      <c r="AD20" t="inlineStr">
        <is>
          <t xml:space="preserve">EB </t>
        </is>
      </c>
      <c r="AE20" t="inlineStr">
        <is>
          <t>LDS</t>
        </is>
      </c>
      <c r="AF20" t="inlineStr">
        <is>
          <t>SHS</t>
        </is>
      </c>
      <c r="AH20" t="inlineStr">
        <is>
          <t>EVERBEST LADIES SHOES BLACK 40</t>
        </is>
      </c>
      <c r="AI20" t="inlineStr">
        <is>
          <t>16939</t>
        </is>
      </c>
      <c r="AJ20" t="inlineStr">
        <is>
          <t>WLK999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JZ</t>
        </is>
      </c>
      <c r="AP20" t="inlineStr"/>
      <c r="AR20" t="inlineStr"/>
      <c r="AS20" t="inlineStr">
        <is>
          <t>996902087520</t>
        </is>
      </c>
      <c r="AT20" t="inlineStr">
        <is>
          <t>003</t>
        </is>
      </c>
      <c r="AU20" t="inlineStr">
        <is>
          <t>007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</row>
    <row r="21">
      <c r="A21" t="n">
        <v>22328</v>
      </c>
      <c r="B21" t="n">
        <v>1</v>
      </c>
      <c r="C21" t="n">
        <v>2590000</v>
      </c>
      <c r="D21" t="inlineStr">
        <is>
          <t>ADDITIONAL 10%</t>
        </is>
      </c>
      <c r="E21" t="n">
        <v>2331000</v>
      </c>
      <c r="F21" s="2" t="n">
        <v>46257</v>
      </c>
      <c r="G21" t="inlineStr">
        <is>
          <t>JURINA</t>
        </is>
      </c>
      <c r="H21" t="inlineStr">
        <is>
          <t>S220</t>
        </is>
      </c>
      <c r="I21" t="n">
        <v>0</v>
      </c>
      <c r="J21" t="n">
        <v>233333</v>
      </c>
      <c r="K21" t="n">
        <v>233333</v>
      </c>
      <c r="L21" t="n">
        <v>259000</v>
      </c>
      <c r="M21" t="n">
        <v>259000</v>
      </c>
      <c r="N21" t="inlineStr">
        <is>
          <t>FFO</t>
        </is>
      </c>
      <c r="O21" t="n">
        <v>22328</v>
      </c>
      <c r="P21" t="n">
        <v>1</v>
      </c>
      <c r="Q21" t="n">
        <v>1</v>
      </c>
      <c r="R21" t="inlineStr">
        <is>
          <t>006</t>
        </is>
      </c>
      <c r="S21" t="n">
        <v>1</v>
      </c>
      <c r="T21" t="n">
        <v>0</v>
      </c>
      <c r="U21" t="n">
        <v>10</v>
      </c>
      <c r="V21" t="inlineStr">
        <is>
          <t>S220</t>
        </is>
      </c>
      <c r="W21" t="n">
        <v>2590000</v>
      </c>
      <c r="X21" t="n">
        <v>2590000</v>
      </c>
      <c r="Y21" t="inlineStr">
        <is>
          <t>7028</t>
        </is>
      </c>
      <c r="Z21" t="inlineStr">
        <is>
          <t>JURINA            003001         X</t>
        </is>
      </c>
      <c r="AB21" t="inlineStr">
        <is>
          <t>S220</t>
        </is>
      </c>
      <c r="AC21" t="inlineStr">
        <is>
          <t>S220</t>
        </is>
      </c>
      <c r="AD21" t="inlineStr">
        <is>
          <t xml:space="preserve">EB </t>
        </is>
      </c>
      <c r="AE21" t="inlineStr">
        <is>
          <t>LDS</t>
        </is>
      </c>
      <c r="AF21" t="inlineStr">
        <is>
          <t>BAG</t>
        </is>
      </c>
      <c r="AH21" t="inlineStr">
        <is>
          <t>EVERBEST LADIES BAGS BLACK FREE SIZE</t>
        </is>
      </c>
      <c r="AI21" t="inlineStr">
        <is>
          <t>16113</t>
        </is>
      </c>
      <c r="AJ21" t="inlineStr">
        <is>
          <t>WLK999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EVG</t>
        </is>
      </c>
      <c r="AP21" t="inlineStr"/>
      <c r="AR21" t="inlineStr"/>
      <c r="AS21" t="inlineStr">
        <is>
          <t>996902087299</t>
        </is>
      </c>
      <c r="AT21" t="inlineStr">
        <is>
          <t>003</t>
        </is>
      </c>
      <c r="AU21" t="inlineStr">
        <is>
          <t>001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</row>
    <row r="22">
      <c r="A22" t="n">
        <v>14379</v>
      </c>
      <c r="B22" t="n">
        <v>1</v>
      </c>
      <c r="C22" t="n">
        <v>1890000</v>
      </c>
      <c r="D22" t="inlineStr">
        <is>
          <t>ADDITIONAL 10%</t>
        </is>
      </c>
      <c r="E22" t="n">
        <v>1701000</v>
      </c>
      <c r="F22" s="2" t="n">
        <v>46254</v>
      </c>
      <c r="G22" t="inlineStr">
        <is>
          <t>LAMIA</t>
        </is>
      </c>
      <c r="H22" t="inlineStr">
        <is>
          <t>C060</t>
        </is>
      </c>
      <c r="I22" t="n">
        <v>0</v>
      </c>
      <c r="J22" t="n">
        <v>170270</v>
      </c>
      <c r="K22" t="n">
        <v>170270</v>
      </c>
      <c r="L22" t="n">
        <v>189000</v>
      </c>
      <c r="M22" t="n">
        <v>189000</v>
      </c>
      <c r="N22" t="inlineStr">
        <is>
          <t>FFO</t>
        </is>
      </c>
      <c r="O22" t="n">
        <v>14379</v>
      </c>
      <c r="P22" t="n">
        <v>1</v>
      </c>
      <c r="Q22" t="n">
        <v>1</v>
      </c>
      <c r="R22" t="inlineStr">
        <is>
          <t>006</t>
        </is>
      </c>
      <c r="S22" t="n">
        <v>1</v>
      </c>
      <c r="T22" t="n">
        <v>0</v>
      </c>
      <c r="U22" t="n">
        <v>10</v>
      </c>
      <c r="V22" t="inlineStr">
        <is>
          <t>C060</t>
        </is>
      </c>
      <c r="W22" t="n">
        <v>1890000</v>
      </c>
      <c r="X22" t="n">
        <v>1890000</v>
      </c>
      <c r="Y22" t="inlineStr">
        <is>
          <t>7028</t>
        </is>
      </c>
      <c r="Z22" t="inlineStr">
        <is>
          <t>LAMIA             00Z001         X</t>
        </is>
      </c>
      <c r="AB22" t="inlineStr">
        <is>
          <t>C060</t>
        </is>
      </c>
      <c r="AC22" t="inlineStr">
        <is>
          <t>C060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SHS</t>
        </is>
      </c>
      <c r="AH22" t="inlineStr">
        <is>
          <t>EVERBEST LADIES SHOES TAN 37</t>
        </is>
      </c>
      <c r="AI22" t="inlineStr">
        <is>
          <t>15478</t>
        </is>
      </c>
      <c r="AJ22" t="inlineStr">
        <is>
          <t>WLK999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JZ</t>
        </is>
      </c>
      <c r="AP22" t="inlineStr"/>
      <c r="AR22" t="inlineStr"/>
      <c r="AS22" t="inlineStr">
        <is>
          <t>996902087524</t>
        </is>
      </c>
      <c r="AT22" t="inlineStr">
        <is>
          <t>00Z</t>
        </is>
      </c>
      <c r="AU22" t="inlineStr">
        <is>
          <t>001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</row>
    <row r="23">
      <c r="A23" t="n">
        <v>14380</v>
      </c>
      <c r="B23" t="n">
        <v>1</v>
      </c>
      <c r="C23" t="n">
        <v>1990000</v>
      </c>
      <c r="D23" t="inlineStr">
        <is>
          <t>ADDITIONAL 10%</t>
        </is>
      </c>
      <c r="E23" t="n">
        <v>1791000</v>
      </c>
      <c r="F23" s="2" t="n">
        <v>46254</v>
      </c>
      <c r="G23" t="inlineStr">
        <is>
          <t>LAURETE</t>
        </is>
      </c>
      <c r="H23" t="inlineStr">
        <is>
          <t>C060</t>
        </is>
      </c>
      <c r="I23" t="n">
        <v>0</v>
      </c>
      <c r="J23" t="n">
        <v>179279</v>
      </c>
      <c r="K23" t="n">
        <v>179279</v>
      </c>
      <c r="L23" t="n">
        <v>199000</v>
      </c>
      <c r="M23" t="n">
        <v>199000</v>
      </c>
      <c r="N23" t="inlineStr">
        <is>
          <t>FFO</t>
        </is>
      </c>
      <c r="O23" t="n">
        <v>14380</v>
      </c>
      <c r="P23" t="n">
        <v>1</v>
      </c>
      <c r="Q23" t="n">
        <v>1</v>
      </c>
      <c r="R23" t="inlineStr">
        <is>
          <t>006</t>
        </is>
      </c>
      <c r="S23" t="n">
        <v>1</v>
      </c>
      <c r="T23" t="n">
        <v>0</v>
      </c>
      <c r="U23" t="n">
        <v>10</v>
      </c>
      <c r="V23" t="inlineStr">
        <is>
          <t>C060</t>
        </is>
      </c>
      <c r="W23" t="n">
        <v>1990000</v>
      </c>
      <c r="X23" t="n">
        <v>1990000</v>
      </c>
      <c r="Y23" t="inlineStr">
        <is>
          <t>7028</t>
        </is>
      </c>
      <c r="Z23" t="inlineStr">
        <is>
          <t>LAURETE           00Z005         X</t>
        </is>
      </c>
      <c r="AB23" t="inlineStr">
        <is>
          <t>C060</t>
        </is>
      </c>
      <c r="AC23" t="inlineStr">
        <is>
          <t>C060</t>
        </is>
      </c>
      <c r="AD23" t="inlineStr">
        <is>
          <t xml:space="preserve">EB </t>
        </is>
      </c>
      <c r="AE23" t="inlineStr">
        <is>
          <t>LDS</t>
        </is>
      </c>
      <c r="AF23" t="inlineStr">
        <is>
          <t>SHS</t>
        </is>
      </c>
      <c r="AH23" t="inlineStr">
        <is>
          <t>EVERBEST LADIES SHOES TAN 36</t>
        </is>
      </c>
      <c r="AI23" t="inlineStr">
        <is>
          <t>15478</t>
        </is>
      </c>
      <c r="AJ23" t="inlineStr">
        <is>
          <t>WLK999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HU</t>
        </is>
      </c>
      <c r="AP23" t="inlineStr"/>
      <c r="AR23" t="inlineStr"/>
      <c r="AS23" t="inlineStr">
        <is>
          <t>996902087413</t>
        </is>
      </c>
      <c r="AT23" t="inlineStr">
        <is>
          <t>00Z</t>
        </is>
      </c>
      <c r="AU23" t="inlineStr">
        <is>
          <t>005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</row>
    <row r="24">
      <c r="A24" t="n">
        <v>16184</v>
      </c>
      <c r="B24" t="n">
        <v>1</v>
      </c>
      <c r="C24" t="n">
        <v>1890000</v>
      </c>
      <c r="D24" t="inlineStr">
        <is>
          <t>ADDITIONAL 10%</t>
        </is>
      </c>
      <c r="E24" t="n">
        <v>1701000</v>
      </c>
      <c r="F24" s="2" t="n">
        <v>46254</v>
      </c>
      <c r="G24" t="inlineStr">
        <is>
          <t>LAMIA</t>
        </is>
      </c>
      <c r="H24" t="inlineStr">
        <is>
          <t>S610</t>
        </is>
      </c>
      <c r="I24" t="n">
        <v>0</v>
      </c>
      <c r="J24" t="n">
        <v>170270</v>
      </c>
      <c r="K24" t="n">
        <v>170270</v>
      </c>
      <c r="L24" t="n">
        <v>189000</v>
      </c>
      <c r="M24" t="n">
        <v>189000</v>
      </c>
      <c r="N24" t="inlineStr">
        <is>
          <t>FFO</t>
        </is>
      </c>
      <c r="O24" t="n">
        <v>16184</v>
      </c>
      <c r="P24" t="n">
        <v>1</v>
      </c>
      <c r="Q24" t="n">
        <v>1</v>
      </c>
      <c r="R24" t="inlineStr">
        <is>
          <t>006</t>
        </is>
      </c>
      <c r="S24" t="n">
        <v>1</v>
      </c>
      <c r="T24" t="n">
        <v>0</v>
      </c>
      <c r="U24" t="n">
        <v>10</v>
      </c>
      <c r="V24" t="inlineStr">
        <is>
          <t>S610</t>
        </is>
      </c>
      <c r="W24" t="n">
        <v>1890000</v>
      </c>
      <c r="X24" t="n">
        <v>1890000</v>
      </c>
      <c r="Y24" t="inlineStr">
        <is>
          <t>7028</t>
        </is>
      </c>
      <c r="Z24" t="inlineStr">
        <is>
          <t>LAMIA             003003         X</t>
        </is>
      </c>
      <c r="AB24" t="inlineStr">
        <is>
          <t>S610</t>
        </is>
      </c>
      <c r="AC24" t="inlineStr">
        <is>
          <t>S610</t>
        </is>
      </c>
      <c r="AD24" t="inlineStr">
        <is>
          <t xml:space="preserve">EB </t>
        </is>
      </c>
      <c r="AE24" t="inlineStr">
        <is>
          <t>LDS</t>
        </is>
      </c>
      <c r="AF24" t="inlineStr">
        <is>
          <t>SHS</t>
        </is>
      </c>
      <c r="AH24" t="inlineStr">
        <is>
          <t>EVERBEST LADIES SHOES BLACK 38</t>
        </is>
      </c>
      <c r="AI24" t="inlineStr">
        <is>
          <t>16372</t>
        </is>
      </c>
      <c r="AJ24" t="inlineStr">
        <is>
          <t>WLK999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JZ</t>
        </is>
      </c>
      <c r="AP24" t="inlineStr"/>
      <c r="AR24" t="inlineStr"/>
      <c r="AS24" t="inlineStr">
        <is>
          <t>996902087518</t>
        </is>
      </c>
      <c r="AT24" t="inlineStr">
        <is>
          <t>003</t>
        </is>
      </c>
      <c r="AU24" t="inlineStr">
        <is>
          <t>003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</row>
    <row r="25">
      <c r="A25" t="n">
        <v>20658</v>
      </c>
      <c r="B25" t="n">
        <v>1</v>
      </c>
      <c r="C25" t="n">
        <v>2990000</v>
      </c>
      <c r="D25" t="inlineStr">
        <is>
          <t>ADDITIONAL 10%</t>
        </is>
      </c>
      <c r="E25" t="n">
        <v>2691000</v>
      </c>
      <c r="F25" s="2" t="n">
        <v>46253</v>
      </c>
      <c r="G25" t="inlineStr">
        <is>
          <t>JUSELLE</t>
        </is>
      </c>
      <c r="H25" t="inlineStr">
        <is>
          <t>S820</t>
        </is>
      </c>
      <c r="I25" t="n">
        <v>0</v>
      </c>
      <c r="J25" t="n">
        <v>269369</v>
      </c>
      <c r="K25" t="n">
        <v>269369</v>
      </c>
      <c r="L25" t="n">
        <v>299000</v>
      </c>
      <c r="M25" t="n">
        <v>299000</v>
      </c>
      <c r="N25" t="inlineStr">
        <is>
          <t>FFO</t>
        </is>
      </c>
      <c r="O25" t="n">
        <v>20658</v>
      </c>
      <c r="P25" t="n">
        <v>1</v>
      </c>
      <c r="Q25" t="n">
        <v>5</v>
      </c>
      <c r="R25" t="inlineStr">
        <is>
          <t>006</t>
        </is>
      </c>
      <c r="S25" t="n">
        <v>1</v>
      </c>
      <c r="T25" t="n">
        <v>0</v>
      </c>
      <c r="U25" t="n">
        <v>10</v>
      </c>
      <c r="V25" t="inlineStr">
        <is>
          <t>S820</t>
        </is>
      </c>
      <c r="W25" t="n">
        <v>2990000</v>
      </c>
      <c r="X25" t="n">
        <v>2990000</v>
      </c>
      <c r="Y25" t="inlineStr">
        <is>
          <t>7028</t>
        </is>
      </c>
      <c r="Z25" t="inlineStr">
        <is>
          <t>JUSELLE           00Z001         X</t>
        </is>
      </c>
      <c r="AB25" t="inlineStr">
        <is>
          <t>S820</t>
        </is>
      </c>
      <c r="AC25" t="inlineStr">
        <is>
          <t>S820</t>
        </is>
      </c>
      <c r="AD25" t="inlineStr">
        <is>
          <t xml:space="preserve">EB </t>
        </is>
      </c>
      <c r="AE25" t="inlineStr">
        <is>
          <t>LDS</t>
        </is>
      </c>
      <c r="AF25" t="inlineStr">
        <is>
          <t>BAG</t>
        </is>
      </c>
      <c r="AH25" t="inlineStr">
        <is>
          <t>EVERBEST LADIES BAGS TAN FREE SIZE</t>
        </is>
      </c>
      <c r="AI25" t="inlineStr">
        <is>
          <t>17074</t>
        </is>
      </c>
      <c r="AJ25" t="inlineStr">
        <is>
          <t>WLK999</t>
        </is>
      </c>
      <c r="AL25" t="inlineStr">
        <is>
          <t>ART</t>
        </is>
      </c>
      <c r="AM25" t="inlineStr">
        <is>
          <t xml:space="preserve">   </t>
        </is>
      </c>
      <c r="AO25" t="inlineStr">
        <is>
          <t>HBYY</t>
        </is>
      </c>
      <c r="AP25" t="inlineStr"/>
      <c r="AR25" t="inlineStr"/>
      <c r="AS25" t="inlineStr">
        <is>
          <t>996902087303</t>
        </is>
      </c>
      <c r="AT25" t="inlineStr">
        <is>
          <t>00Z</t>
        </is>
      </c>
      <c r="AU25" t="inlineStr">
        <is>
          <t>001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Disc Description (sheet RAW). Total &amp; LW Sales: penjualan brand per toko selama periode promo &amp; periode LW (query sales toko).</t>
        </is>
      </c>
    </row>
    <row r="4">
      <c r="A4" s="5" t="inlineStr">
        <is>
          <t>Store Code</t>
        </is>
      </c>
      <c r="B4" s="5" t="inlineStr">
        <is>
          <t>ADDITIONAL 10%</t>
        </is>
      </c>
      <c r="C4" s="6" t="n"/>
      <c r="D4" s="7" t="inlineStr">
        <is>
          <t>Total (19-30 Agu'26)</t>
        </is>
      </c>
      <c r="E4" s="6" t="n"/>
      <c r="F4" s="7" t="inlineStr">
        <is>
          <t>Stock 10 Agu 2026</t>
        </is>
      </c>
      <c r="G4" s="7" t="inlineStr">
        <is>
          <t>Sellthru</t>
        </is>
      </c>
      <c r="H4" s="7" t="inlineStr">
        <is>
          <t>Cont%</t>
        </is>
      </c>
      <c r="I4" s="7" t="inlineStr">
        <is>
          <t>LW Sales (29 Jul - 9 Agu'26)</t>
        </is>
      </c>
      <c r="J4" s="6" t="n"/>
      <c r="K4" s="7" t="inlineStr">
        <is>
          <t>Growth%</t>
        </is>
      </c>
    </row>
    <row r="5">
      <c r="B5" s="8" t="inlineStr">
        <is>
          <t>Qty</t>
        </is>
      </c>
      <c r="C5" s="8" t="inlineStr">
        <is>
          <t>Amount</t>
        </is>
      </c>
      <c r="D5" s="8" t="inlineStr">
        <is>
          <t>Qty</t>
        </is>
      </c>
      <c r="E5" s="8" t="inlineStr">
        <is>
          <t>Amount</t>
        </is>
      </c>
      <c r="F5" s="6" t="n"/>
      <c r="G5" s="6" t="n"/>
      <c r="H5" s="6" t="n"/>
      <c r="I5" s="8" t="inlineStr">
        <is>
          <t>Qty</t>
        </is>
      </c>
      <c r="J5" s="8" t="inlineStr">
        <is>
          <t>Amount</t>
        </is>
      </c>
      <c r="K5" s="6" t="n"/>
    </row>
    <row r="6">
      <c r="A6" s="9" t="inlineStr">
        <is>
          <t>C060</t>
        </is>
      </c>
      <c r="B6" s="10">
        <f>SUMIFS(RAW!$B$2:$B$25,RAW!$H$2:$H$25,$A6,RAW!$D$2:$D$25,B$4)</f>
        <v/>
      </c>
      <c r="C6" s="10">
        <f>SUMIFS(RAW!$E$2:$E$25,RAW!$H$2:$H$25,$A6,RAW!$D$2:$D$25,B$4)</f>
        <v/>
      </c>
      <c r="D6" s="11" t="n">
        <v>58</v>
      </c>
      <c r="E6" s="11" t="n">
        <v>86492400</v>
      </c>
      <c r="F6" s="12" t="n"/>
      <c r="G6" s="13">
        <f>D6/F6</f>
        <v/>
      </c>
      <c r="H6" s="13">
        <f>D6/$D$18</f>
        <v/>
      </c>
      <c r="I6" s="10" t="n">
        <v>48</v>
      </c>
      <c r="J6" s="10" t="n">
        <v>73883400</v>
      </c>
      <c r="K6" s="13">
        <f>E6/J6-1</f>
        <v/>
      </c>
    </row>
    <row r="7">
      <c r="A7" s="9" t="inlineStr">
        <is>
          <t>G060</t>
        </is>
      </c>
      <c r="B7" s="10">
        <f>SUMIFS(RAW!$B$2:$B$25,RAW!$H$2:$H$25,$A7,RAW!$D$2:$D$25,B$4)</f>
        <v/>
      </c>
      <c r="C7" s="10">
        <f>SUMIFS(RAW!$E$2:$E$25,RAW!$H$2:$H$25,$A7,RAW!$D$2:$D$25,B$4)</f>
        <v/>
      </c>
      <c r="D7" s="11" t="n">
        <v>175</v>
      </c>
      <c r="E7" s="11" t="n">
        <v>206308000</v>
      </c>
      <c r="F7" s="12" t="n"/>
      <c r="G7" s="13">
        <f>D7/F7</f>
        <v/>
      </c>
      <c r="H7" s="13">
        <f>D7/$D$18</f>
        <v/>
      </c>
      <c r="I7" s="10" t="n">
        <v>57</v>
      </c>
      <c r="J7" s="10" t="n">
        <v>81939300</v>
      </c>
      <c r="K7" s="13">
        <f>E7/J7-1</f>
        <v/>
      </c>
    </row>
    <row r="8">
      <c r="A8" s="9" t="inlineStr">
        <is>
          <t>M010</t>
        </is>
      </c>
      <c r="B8" s="10">
        <f>SUMIFS(RAW!$B$2:$B$25,RAW!$H$2:$H$25,$A8,RAW!$D$2:$D$25,B$4)</f>
        <v/>
      </c>
      <c r="C8" s="10">
        <f>SUMIFS(RAW!$E$2:$E$25,RAW!$H$2:$H$25,$A8,RAW!$D$2:$D$25,B$4)</f>
        <v/>
      </c>
      <c r="D8" s="11" t="n">
        <v>22</v>
      </c>
      <c r="E8" s="11" t="n">
        <v>32154400</v>
      </c>
      <c r="F8" s="12" t="n"/>
      <c r="G8" s="13">
        <f>D8/F8</f>
        <v/>
      </c>
      <c r="H8" s="13">
        <f>D8/$D$18</f>
        <v/>
      </c>
      <c r="I8" s="10" t="n">
        <v>31</v>
      </c>
      <c r="J8" s="10" t="n">
        <v>42989800</v>
      </c>
      <c r="K8" s="13">
        <f>E8/J8-1</f>
        <v/>
      </c>
    </row>
    <row r="9">
      <c r="A9" s="9" t="inlineStr">
        <is>
          <t>M310</t>
        </is>
      </c>
      <c r="B9" s="10">
        <f>SUMIFS(RAW!$B$2:$B$25,RAW!$H$2:$H$25,$A9,RAW!$D$2:$D$25,B$4)</f>
        <v/>
      </c>
      <c r="C9" s="10">
        <f>SUMIFS(RAW!$E$2:$E$25,RAW!$H$2:$H$25,$A9,RAW!$D$2:$D$25,B$4)</f>
        <v/>
      </c>
      <c r="D9" s="11" t="n">
        <v>48</v>
      </c>
      <c r="E9" s="11" t="n">
        <v>66325600</v>
      </c>
      <c r="F9" s="12" t="n"/>
      <c r="G9" s="13">
        <f>D9/F9</f>
        <v/>
      </c>
      <c r="H9" s="13">
        <f>D9/$D$18</f>
        <v/>
      </c>
      <c r="I9" s="10" t="n">
        <v>70</v>
      </c>
      <c r="J9" s="10" t="n">
        <v>92551750</v>
      </c>
      <c r="K9" s="13">
        <f>E9/J9-1</f>
        <v/>
      </c>
    </row>
    <row r="10">
      <c r="A10" s="9" t="inlineStr">
        <is>
          <t>M730</t>
        </is>
      </c>
      <c r="B10" s="10">
        <f>SUMIFS(RAW!$B$2:$B$25,RAW!$H$2:$H$25,$A10,RAW!$D$2:$D$25,B$4)</f>
        <v/>
      </c>
      <c r="C10" s="10">
        <f>SUMIFS(RAW!$E$2:$E$25,RAW!$H$2:$H$25,$A10,RAW!$D$2:$D$25,B$4)</f>
        <v/>
      </c>
      <c r="D10" s="11" t="n">
        <v>46</v>
      </c>
      <c r="E10" s="11" t="n">
        <v>83384000</v>
      </c>
      <c r="F10" s="12" t="n"/>
      <c r="G10" s="13">
        <f>D10/F10</f>
        <v/>
      </c>
      <c r="H10" s="13">
        <f>D10/$D$18</f>
        <v/>
      </c>
      <c r="I10" s="10" t="n">
        <v>67</v>
      </c>
      <c r="J10" s="10" t="n">
        <v>114827200</v>
      </c>
      <c r="K10" s="13">
        <f>E10/J10-1</f>
        <v/>
      </c>
    </row>
    <row r="11">
      <c r="A11" s="9" t="inlineStr">
        <is>
          <t>S220</t>
        </is>
      </c>
      <c r="B11" s="10">
        <f>SUMIFS(RAW!$B$2:$B$25,RAW!$H$2:$H$25,$A11,RAW!$D$2:$D$25,B$4)</f>
        <v/>
      </c>
      <c r="C11" s="10">
        <f>SUMIFS(RAW!$E$2:$E$25,RAW!$H$2:$H$25,$A11,RAW!$D$2:$D$25,B$4)</f>
        <v/>
      </c>
      <c r="D11" s="11" t="n">
        <v>82</v>
      </c>
      <c r="E11" s="11" t="n">
        <v>103068000</v>
      </c>
      <c r="F11" s="12" t="n"/>
      <c r="G11" s="13">
        <f>D11/F11</f>
        <v/>
      </c>
      <c r="H11" s="13">
        <f>D11/$D$18</f>
        <v/>
      </c>
      <c r="I11" s="10" t="n">
        <v>83</v>
      </c>
      <c r="J11" s="10" t="n">
        <v>127873800</v>
      </c>
      <c r="K11" s="13">
        <f>E11/J11-1</f>
        <v/>
      </c>
    </row>
    <row r="12">
      <c r="A12" s="9" t="inlineStr">
        <is>
          <t>S230</t>
        </is>
      </c>
      <c r="B12" s="10">
        <f>SUMIFS(RAW!$B$2:$B$25,RAW!$H$2:$H$25,$A12,RAW!$D$2:$D$25,B$4)</f>
        <v/>
      </c>
      <c r="C12" s="10">
        <f>SUMIFS(RAW!$E$2:$E$25,RAW!$H$2:$H$25,$A12,RAW!$D$2:$D$25,B$4)</f>
        <v/>
      </c>
      <c r="D12" s="11" t="n">
        <v>43</v>
      </c>
      <c r="E12" s="11" t="n">
        <v>59554000</v>
      </c>
      <c r="F12" s="12" t="n"/>
      <c r="G12" s="13">
        <f>D12/F12</f>
        <v/>
      </c>
      <c r="H12" s="13">
        <f>D12/$D$18</f>
        <v/>
      </c>
      <c r="I12" s="10" t="n">
        <v>47</v>
      </c>
      <c r="J12" s="10" t="n">
        <v>68783450</v>
      </c>
      <c r="K12" s="13">
        <f>E12/J12-1</f>
        <v/>
      </c>
    </row>
    <row r="13">
      <c r="A13" s="9" t="inlineStr">
        <is>
          <t>S330</t>
        </is>
      </c>
      <c r="B13" s="10">
        <f>SUMIFS(RAW!$B$2:$B$25,RAW!$H$2:$H$25,$A13,RAW!$D$2:$D$25,B$4)</f>
        <v/>
      </c>
      <c r="C13" s="10">
        <f>SUMIFS(RAW!$E$2:$E$25,RAW!$H$2:$H$25,$A13,RAW!$D$2:$D$25,B$4)</f>
        <v/>
      </c>
      <c r="D13" s="11" t="n">
        <v>58</v>
      </c>
      <c r="E13" s="11" t="n">
        <v>64876000</v>
      </c>
      <c r="F13" s="12" t="n"/>
      <c r="G13" s="13">
        <f>D13/F13</f>
        <v/>
      </c>
      <c r="H13" s="13">
        <f>D13/$D$18</f>
        <v/>
      </c>
      <c r="I13" s="10" t="n">
        <v>24</v>
      </c>
      <c r="J13" s="10" t="n">
        <v>31885100</v>
      </c>
      <c r="K13" s="13">
        <f>E13/J13-1</f>
        <v/>
      </c>
    </row>
    <row r="14">
      <c r="A14" s="9" t="inlineStr">
        <is>
          <t>S610</t>
        </is>
      </c>
      <c r="B14" s="10">
        <f>SUMIFS(RAW!$B$2:$B$25,RAW!$H$2:$H$25,$A14,RAW!$D$2:$D$25,B$4)</f>
        <v/>
      </c>
      <c r="C14" s="10">
        <f>SUMIFS(RAW!$E$2:$E$25,RAW!$H$2:$H$25,$A14,RAW!$D$2:$D$25,B$4)</f>
        <v/>
      </c>
      <c r="D14" s="11" t="n">
        <v>57</v>
      </c>
      <c r="E14" s="11" t="n">
        <v>86802700</v>
      </c>
      <c r="F14" s="12" t="n"/>
      <c r="G14" s="13">
        <f>D14/F14</f>
        <v/>
      </c>
      <c r="H14" s="13">
        <f>D14/$D$18</f>
        <v/>
      </c>
      <c r="I14" s="10" t="n">
        <v>31</v>
      </c>
      <c r="J14" s="10" t="n">
        <v>45383500</v>
      </c>
      <c r="K14" s="13">
        <f>E14/J14-1</f>
        <v/>
      </c>
    </row>
    <row r="15">
      <c r="A15" s="9" t="inlineStr">
        <is>
          <t>S630</t>
        </is>
      </c>
      <c r="B15" s="10">
        <f>SUMIFS(RAW!$B$2:$B$25,RAW!$H$2:$H$25,$A15,RAW!$D$2:$D$25,B$4)</f>
        <v/>
      </c>
      <c r="C15" s="10">
        <f>SUMIFS(RAW!$E$2:$E$25,RAW!$H$2:$H$25,$A15,RAW!$D$2:$D$25,B$4)</f>
        <v/>
      </c>
      <c r="D15" s="11" t="n">
        <v>47</v>
      </c>
      <c r="E15" s="11" t="n">
        <v>71908000</v>
      </c>
      <c r="F15" s="12" t="n"/>
      <c r="G15" s="13">
        <f>D15/F15</f>
        <v/>
      </c>
      <c r="H15" s="13">
        <f>D15/$D$18</f>
        <v/>
      </c>
      <c r="I15" s="10" t="n">
        <v>42</v>
      </c>
      <c r="J15" s="10" t="n">
        <v>66690000</v>
      </c>
      <c r="K15" s="13">
        <f>E15/J15-1</f>
        <v/>
      </c>
    </row>
    <row r="16">
      <c r="A16" s="9" t="inlineStr">
        <is>
          <t>S820</t>
        </is>
      </c>
      <c r="B16" s="10">
        <f>SUMIFS(RAW!$B$2:$B$25,RAW!$H$2:$H$25,$A16,RAW!$D$2:$D$25,B$4)</f>
        <v/>
      </c>
      <c r="C16" s="10">
        <f>SUMIFS(RAW!$E$2:$E$25,RAW!$H$2:$H$25,$A16,RAW!$D$2:$D$25,B$4)</f>
        <v/>
      </c>
      <c r="D16" s="11" t="n">
        <v>36</v>
      </c>
      <c r="E16" s="11" t="n">
        <v>51626000</v>
      </c>
      <c r="F16" s="12" t="n"/>
      <c r="G16" s="13">
        <f>D16/F16</f>
        <v/>
      </c>
      <c r="H16" s="13">
        <f>D16/$D$18</f>
        <v/>
      </c>
      <c r="I16" s="10" t="n">
        <v>41</v>
      </c>
      <c r="J16" s="10" t="n">
        <v>54140300</v>
      </c>
      <c r="K16" s="13">
        <f>E16/J16-1</f>
        <v/>
      </c>
    </row>
    <row r="17">
      <c r="A17" s="9" t="inlineStr">
        <is>
          <t>U005</t>
        </is>
      </c>
      <c r="B17" s="10">
        <f>SUMIFS(RAW!$B$2:$B$25,RAW!$H$2:$H$25,$A17,RAW!$D$2:$D$25,B$4)</f>
        <v/>
      </c>
      <c r="C17" s="10">
        <f>SUMIFS(RAW!$E$2:$E$25,RAW!$H$2:$H$25,$A17,RAW!$D$2:$D$25,B$4)</f>
        <v/>
      </c>
      <c r="D17" s="11" t="n">
        <v>114</v>
      </c>
      <c r="E17" s="11" t="n">
        <v>155615000</v>
      </c>
      <c r="F17" s="12" t="n"/>
      <c r="G17" s="13">
        <f>D17/F17</f>
        <v/>
      </c>
      <c r="H17" s="13">
        <f>D17/$D$18</f>
        <v/>
      </c>
      <c r="I17" s="10" t="n">
        <v>133</v>
      </c>
      <c r="J17" s="10" t="n">
        <v>177074900</v>
      </c>
      <c r="K17" s="13">
        <f>E17/J17-1</f>
        <v/>
      </c>
    </row>
    <row r="18">
      <c r="A18" s="14" t="inlineStr">
        <is>
          <t>GRAND TOTAL</t>
        </is>
      </c>
      <c r="B18" s="15">
        <f>SUM(B6:B17)</f>
        <v/>
      </c>
      <c r="C18" s="15">
        <f>SUM(C6:C17)</f>
        <v/>
      </c>
      <c r="D18" s="15">
        <f>SUM(D6:D17)</f>
        <v/>
      </c>
      <c r="E18" s="15">
        <f>SUM(E6:E17)</f>
        <v/>
      </c>
      <c r="F18" s="15">
        <f>SUM(F6:F17)</f>
        <v/>
      </c>
      <c r="G18" s="16">
        <f>D18/F18</f>
        <v/>
      </c>
      <c r="H18" s="16">
        <f>1</f>
        <v/>
      </c>
      <c r="I18" s="15">
        <f>SUM(I6:I17)</f>
        <v/>
      </c>
      <c r="J18" s="15">
        <f>SUM(J6:J17)</f>
        <v/>
      </c>
      <c r="K18" s="16">
        <f>E18/J18-1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2026-09-25T02:50:34Z</dcterms:created>
  <dcterms:modified xmlns:dcterms="http://purl.org/dc/terms/" xmlns:xsi="http://www.w3.org/2001/XMLSchema-instance" xsi:type="dcterms:W3CDTF">2026-09-25T02:50:34Z</dcterms:modified>
</cp:coreProperties>
</file>