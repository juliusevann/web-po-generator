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66D31D70-4D5D-4DB8-9CA3-90DD4E1E1E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l="1"/>
</calcChain>
</file>

<file path=xl/sharedStrings.xml><?xml version="1.0" encoding="utf-8"?>
<sst xmlns="http://schemas.openxmlformats.org/spreadsheetml/2006/main" count="58" uniqueCount="54">
  <si>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</si>
  <si>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</si>
  <si>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</si>
  <si>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</si>
  <si>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</si>
  <si>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</si>
  <si>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</si>
  <si>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</si>
  <si>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</si>
  <si>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</si>
  <si>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</si>
  <si>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</si>
  <si>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</si>
  <si>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</si>
  <si>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</si>
  <si>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</si>
  <si>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</si>
  <si>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</si>
  <si>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</si>
  <si>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</si>
  <si>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</si>
  <si>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</si>
  <si>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</si>
  <si>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</si>
  <si>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</si>
  <si>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</si>
  <si>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</si>
  <si>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</si>
  <si>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</si>
  <si>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</si>
  <si>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</si>
  <si>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</si>
  <si>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</si>
  <si>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</si>
  <si>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</si>
  <si>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</si>
  <si>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</si>
  <si>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</si>
  <si>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</si>
  <si>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</si>
  <si>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</si>
  <si>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</si>
  <si>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10076</t>
  </si>
  <si>
    <t>NEW ARRIVAL - JAKARTA</t>
  </si>
  <si>
    <t>: 26 May 2026</t>
  </si>
  <si>
    <t>EVERBEST LADIES SMALL LEATHER GOODS - LANYARD</t>
  </si>
  <si>
    <t>MODESTCUT</t>
  </si>
  <si>
    <t>FALL 2026</t>
  </si>
  <si>
    <t>263EB387</t>
  </si>
  <si>
    <t>Material : LEATHER</t>
  </si>
  <si>
    <t>Lining : FABRIC</t>
  </si>
  <si>
    <t>DESERT_TAUPE</t>
  </si>
  <si>
    <t>GARNET_RED</t>
  </si>
  <si>
    <t>NOIR_BLACK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</si>
</sst>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42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44</v>
      </c>
      <c r="C4" s="18"/>
      <c r="E4" s="93" t="s">
        <v>43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47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45</v>
      </c>
      <c r="B10" s="24" t="s">
        <v>48</v>
      </c>
      <c r="C10" s="25" t="s">
        <v>46</v>
      </c>
      <c r="D10" s="26" t="s">
        <v>51</v>
      </c>
      <c r="E10" s="99">
        <v>67</v>
      </c>
      <c r="F10" s="100">
        <v>12.18</v>
      </c>
      <c r="G10" s="101">
        <f t="shared" ref="G10:G15" si="0">F10*E10</f>
        <v>816.06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 t="s">
        <v>52</v>
      </c>
      <c r="E11" s="102">
        <v>63</v>
      </c>
      <c r="F11" s="100">
        <v>12.18</v>
      </c>
      <c r="G11" s="103">
        <f t="shared" si="0"/>
        <v>767.34</v>
      </c>
      <c r="H11" s="95"/>
      <c r="I11" s="95"/>
      <c r="J11" s="95"/>
    </row>
    <row r="12" spans="1:20" s="1" customFormat="1" ht="27.75" customHeight="1">
      <c r="A12" s="29" t="s">
        <v>49</v>
      </c>
      <c r="B12" s="24"/>
      <c r="C12" s="25"/>
      <c r="D12" s="26" t="s">
        <v>53</v>
      </c>
      <c r="E12" s="102">
        <v>116</v>
      </c>
      <c r="F12" s="100">
        <v>12.18</v>
      </c>
      <c r="G12" s="103">
        <f t="shared" si="0"/>
        <v>1412.8799999999999</v>
      </c>
      <c r="H12" s="95"/>
      <c r="I12" s="95"/>
      <c r="J12" s="95"/>
    </row>
    <row r="13" spans="1:20" s="1" customFormat="1" ht="27.75" customHeight="1">
      <c r="A13" s="30" t="s">
        <v>50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246</v>
      </c>
      <c r="F16" s="108"/>
      <c r="G16" s="109">
        <f>SUM(G10:G15)</f>
        <v>2996.2799999999997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22</v>
      </c>
      <c r="B18" s="153">
        <v>46202</v>
      </c>
      <c r="C18" s="154"/>
      <c r="D18" s="37" t="s">
        <v>23</v>
      </c>
      <c r="E18" s="111" t="s">
        <v>24</v>
      </c>
      <c r="F18" s="111" t="s">
        <v>25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26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27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28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29</v>
      </c>
      <c r="B22" s="157" t="s">
        <v>30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31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32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33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263EB387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MODESTCUT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 t="s">
        <v>52</v>
      </c>
      <c r="D37" s="63"/>
      <c r="E37" s="62" t="s">
        <v>53</v>
      </c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DESERT_TAUPE</v>
      </c>
      <c r="B39" s="168"/>
      <c r="C39" s="169" t="str">
        <f>D11</f>
        <v>GARNET_RED</v>
      </c>
      <c r="D39" s="170"/>
      <c r="E39" s="167" t="str">
        <f>D12</f>
        <v>NOIR_BLACK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34</v>
      </c>
      <c r="B40" s="65"/>
      <c r="C40" s="65"/>
      <c r="D40" s="66" t="s">
        <v>35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36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37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38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39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40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41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2026-09-15T06:16:52Z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