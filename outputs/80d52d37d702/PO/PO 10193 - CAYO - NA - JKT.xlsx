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outputs\80d52d37d702\PO\"/>
    </mc:Choice>
  </mc:AlternateContent>
  <xr:revisionPtr revIDLastSave="0" documentId="8_{CE971882-55E0-4FD3-A3F0-F84A4C7049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irmed PO" sheetId="4" r:id="rId1"/>
  </sheets>
  <definedNames>
    <definedName name="_xlnm.Print_Area" localSheetId="0">'Confirmed PO'!$A$1:$H$54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4" l="1"/>
  <c r="E39" i="4"/>
  <c r="C39" i="4"/>
  <c r="A39" i="4"/>
  <c r="A30" i="4"/>
  <c r="A29" i="4"/>
  <c r="E16" i="4"/>
  <c r="G15" i="4"/>
  <c r="G14" i="4"/>
  <c r="G13" i="4"/>
  <c r="G12" i="4"/>
  <c r="G11" i="4"/>
  <c r="G10" i="4"/>
  <c r="G16" i="4" s="1"/>
</calcChain>
</file>

<file path=xl/sharedStrings.xml><?xml version="1.0" encoding="utf-8"?>
<sst xmlns="http://schemas.openxmlformats.org/spreadsheetml/2006/main" count="54" uniqueCount="52">
  <si>
    <t>PURCHASE ORDER</t>
  </si>
  <si>
    <t>PT. LARA THALIA ABADI</t>
  </si>
  <si>
    <t>PO NO</t>
  </si>
  <si>
    <t>EVERBEST TOWER - CENGKARENG BUSINESS CITY TOWER M</t>
  </si>
  <si>
    <t>EVERBEST</t>
  </si>
  <si>
    <t>Jl. Atang Sanjaya no. 21 Benda - Tangerang Banten, Indonesia</t>
  </si>
  <si>
    <t>DATE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</si>
  <si>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</si>
  <si>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</si>
  <si>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</si>
  <si>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</si>
  <si>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</si>
  <si>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</si>
  <si>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</si>
  <si>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</si>
  <si>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QTY</t>
  </si>
  <si>
    <t>COST</t>
  </si>
  <si>
    <t>AMOUNT</t>
  </si>
  <si>
    <t>开发代码</t>
  </si>
  <si>
    <t>款式名称</t>
  </si>
  <si>
    <t>数量</t>
  </si>
  <si>
    <t>US$</t>
  </si>
  <si>
    <t xml:space="preserve">Lining : </t>
  </si>
  <si>
    <t>Delivery Date</t>
  </si>
  <si>
    <t>BARCODE 请贴条码按照图片：</t>
  </si>
  <si>
    <t>BAG CARD：</t>
  </si>
  <si>
    <t>请缝这个布标写“MADE IN CHINA"在内里布</t>
  </si>
  <si>
    <t>交货日期</t>
  </si>
  <si>
    <t>LOGO :</t>
  </si>
  <si>
    <t>商标</t>
  </si>
  <si>
    <t>TERM OF PAYMENT:</t>
  </si>
  <si>
    <t>CREDIT</t>
  </si>
  <si>
    <t>CARTON MARK ：</t>
  </si>
  <si>
    <t>( 箱标志 )</t>
  </si>
  <si>
    <t>PICTURE ( 图片 ):</t>
  </si>
  <si>
    <t>PACKAGING 包装：</t>
  </si>
  <si>
    <t>OTHER REMARKS:</t>
  </si>
  <si>
    <t>注意：</t>
  </si>
  <si>
    <t>1. FOLLOW AS SAMPLE</t>
  </si>
  <si>
    <t>遵循示例</t>
  </si>
  <si>
    <t>2. PLEASE ENSURE THE LONG STRAP IS INCLUDED IN EACH BAG</t>
  </si>
  <si>
    <t>请确保每个包中均包含长带</t>
  </si>
  <si>
    <t>1. USING NEW DESIGN OF DUSTBAG</t>
  </si>
  <si>
    <t>: 10193</t>
  </si>
  <si>
    <t>NEW ARRIVAL - JAKARTA</t>
  </si>
  <si>
    <t>: 03 Jul 2026</t>
  </si>
  <si>
    <t>EVERBEST MEN ACCESSORIES - SOCK</t>
  </si>
  <si>
    <t>CAYO</t>
  </si>
  <si>
    <t>FALL 2026</t>
  </si>
  <si>
    <t>262EB173</t>
  </si>
  <si>
    <t>Material : FABRIC</t>
  </si>
  <si>
    <t>LIGHT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</si>
</sst>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￥-804]#,##0"/>
    <numFmt numFmtId="166" formatCode="[$-409]d\-mmm\-yy;@"/>
    <numFmt numFmtId="167" formatCode="_-[$$-409]* #,##0.00_ ;_-[$$-409]* \-#,##0.00\ ;_-[$$-409]* &quot;-&quot;??_ ;_-@_ "/>
    <numFmt numFmtId="168" formatCode="_(* #,##0_);_(* \(#,##0\);_(* &quot;-&quot;??_);_(@_)"/>
  </numFmts>
  <fonts count="62">
    <font>
      <sz val="10"/>
      <name val="Arial"/>
      <charset val="134"/>
    </font>
    <font>
      <sz val="11"/>
      <name val="Trebuchet MS"/>
      <charset val="134"/>
    </font>
    <font>
      <b/>
      <sz val="14"/>
      <name val="Arial"/>
      <charset val="134"/>
    </font>
    <font>
      <sz val="18"/>
      <color indexed="9"/>
      <name val="Trebuchet MS"/>
      <charset val="134"/>
    </font>
    <font>
      <b/>
      <sz val="18"/>
      <name val="Arial"/>
      <charset val="134"/>
    </font>
    <font>
      <b/>
      <sz val="16"/>
      <name val="Trebuchet MS"/>
      <charset val="134"/>
    </font>
    <font>
      <b/>
      <sz val="16"/>
      <color indexed="16"/>
      <name val="Arial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1"/>
      <name val="Arial"/>
      <charset val="134"/>
    </font>
    <font>
      <b/>
      <sz val="14"/>
      <name val="Trebuchet MS"/>
      <charset val="134"/>
    </font>
    <font>
      <b/>
      <sz val="14"/>
      <color indexed="18"/>
      <name val="Trebuchet MS"/>
      <charset val="134"/>
    </font>
    <font>
      <b/>
      <sz val="12"/>
      <color indexed="18"/>
      <name val="Trebuchet MS"/>
      <charset val="134"/>
    </font>
    <font>
      <sz val="12"/>
      <name val="Trebuchet MS"/>
      <charset val="134"/>
    </font>
    <font>
      <b/>
      <sz val="36"/>
      <color indexed="10"/>
      <name val="Trebuchet MS"/>
      <charset val="134"/>
    </font>
    <font>
      <b/>
      <sz val="14"/>
      <color theme="1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name val="Arial"/>
      <charset val="134"/>
    </font>
    <font>
      <b/>
      <sz val="20"/>
      <name val="Trebuchet MS"/>
      <charset val="134"/>
    </font>
    <font>
      <b/>
      <sz val="16"/>
      <name val="Arial"/>
      <charset val="134"/>
    </font>
    <font>
      <b/>
      <sz val="11"/>
      <color indexed="36"/>
      <name val="Trebuchet MS"/>
      <charset val="134"/>
    </font>
    <font>
      <sz val="14"/>
      <name val="SimSun"/>
      <charset val="134"/>
    </font>
    <font>
      <sz val="14"/>
      <name val="Trebuchet MS"/>
      <charset val="134"/>
    </font>
    <font>
      <sz val="9"/>
      <name val="Trebuchet MS"/>
      <charset val="134"/>
    </font>
    <font>
      <sz val="9"/>
      <name val="Arial"/>
      <charset val="134"/>
    </font>
    <font>
      <b/>
      <sz val="14"/>
      <color indexed="9"/>
      <name val="Century Gothic"/>
      <charset val="134"/>
    </font>
    <font>
      <sz val="11"/>
      <name val="Arial"/>
      <charset val="134"/>
    </font>
    <font>
      <b/>
      <sz val="12"/>
      <color indexed="16"/>
      <name val="Trebuchet MS"/>
      <charset val="134"/>
    </font>
    <font>
      <b/>
      <sz val="12"/>
      <color indexed="62"/>
      <name val="Trebuchet MS"/>
      <charset val="134"/>
    </font>
    <font>
      <b/>
      <sz val="20"/>
      <name val="Comic Sans MS"/>
      <charset val="134"/>
    </font>
    <font>
      <b/>
      <sz val="14"/>
      <color indexed="16"/>
      <name val="Trebuchet MS"/>
      <charset val="134"/>
    </font>
    <font>
      <b/>
      <sz val="14"/>
      <color indexed="62"/>
      <name val="Trebuchet MS"/>
      <charset val="134"/>
    </font>
    <font>
      <b/>
      <sz val="14"/>
      <name val="Century Gothic"/>
      <charset val="134"/>
    </font>
    <font>
      <b/>
      <sz val="16"/>
      <name val="Century Gothic"/>
      <charset val="134"/>
    </font>
    <font>
      <b/>
      <sz val="12"/>
      <name val="Century Gothic"/>
      <charset val="134"/>
    </font>
    <font>
      <b/>
      <sz val="9"/>
      <color indexed="10"/>
      <name val="Trebuchet MS"/>
      <charset val="134"/>
    </font>
    <font>
      <sz val="12"/>
      <name val="Arial"/>
      <charset val="134"/>
    </font>
    <font>
      <b/>
      <sz val="16"/>
      <color theme="1"/>
      <name val="Century Gothic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8"/>
      <name val="Calibri"/>
      <charset val="134"/>
      <scheme val="minor"/>
    </font>
    <font>
      <sz val="11"/>
      <color indexed="17"/>
      <name val="Calibri"/>
      <charset val="134"/>
    </font>
    <font>
      <sz val="11"/>
      <color indexed="17"/>
      <name val="宋体"/>
      <charset val="134"/>
    </font>
    <font>
      <sz val="11"/>
      <color indexed="20"/>
      <name val="Calibri"/>
      <charset val="134"/>
    </font>
    <font>
      <sz val="11"/>
      <color indexed="20"/>
      <name val="宋体"/>
      <charset val="134"/>
    </font>
    <font>
      <b/>
      <sz val="18"/>
      <color indexed="56"/>
      <name val="Cambria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宋体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  <font>
      <sz val="10"/>
      <name val="Arial"/>
      <charset val="134"/>
    </font>
  </fonts>
  <fills count="30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dashed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61">
    <xf numFmtId="0" fontId="0" fillId="0" borderId="0"/>
    <xf numFmtId="164" fontId="61" fillId="0" borderId="0" applyFont="0" applyFill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1" borderId="0" applyNumberFormat="0" applyBorder="0" applyAlignment="0" applyProtection="0"/>
    <xf numFmtId="0" fontId="40" fillId="14" borderId="0" applyNumberFormat="0" applyBorder="0" applyAlignment="0" applyProtection="0"/>
    <xf numFmtId="0" fontId="40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164" fontId="61" fillId="0" borderId="0" applyFont="0" applyFill="0" applyBorder="0" applyAlignment="0" applyProtection="0"/>
    <xf numFmtId="164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6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61" fillId="0" borderId="0"/>
    <xf numFmtId="0" fontId="61" fillId="0" borderId="0"/>
    <xf numFmtId="9" fontId="61" fillId="0" borderId="0" applyFont="0" applyFill="0" applyBorder="0" applyAlignment="0" applyProtection="0"/>
    <xf numFmtId="0" fontId="43" fillId="10" borderId="0" applyNumberFormat="0" applyBorder="0" applyAlignment="0" applyProtection="0"/>
    <xf numFmtId="0" fontId="44" fillId="10" borderId="0" applyNumberFormat="0" applyBorder="0" applyAlignment="0" applyProtection="0">
      <alignment vertical="center"/>
    </xf>
    <xf numFmtId="0" fontId="45" fillId="9" borderId="0" applyNumberFormat="0" applyBorder="0" applyAlignment="0" applyProtection="0"/>
    <xf numFmtId="0" fontId="46" fillId="9" borderId="0" applyNumberFormat="0" applyBorder="0" applyAlignment="0" applyProtection="0">
      <alignment vertical="center"/>
    </xf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5" borderId="0" applyNumberFormat="0" applyBorder="0" applyAlignment="0" applyProtection="0"/>
    <xf numFmtId="0" fontId="47" fillId="0" borderId="0" applyNumberFormat="0" applyFill="0" applyBorder="0" applyAlignment="0" applyProtection="0"/>
    <xf numFmtId="0" fontId="48" fillId="0" borderId="49" applyNumberFormat="0" applyFill="0" applyAlignment="0" applyProtection="0"/>
    <xf numFmtId="0" fontId="49" fillId="0" borderId="50" applyNumberFormat="0" applyFill="0" applyAlignment="0" applyProtection="0"/>
    <xf numFmtId="0" fontId="50" fillId="0" borderId="51" applyNumberFormat="0" applyFill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52" fillId="26" borderId="52" applyNumberFormat="0" applyAlignment="0" applyProtection="0"/>
    <xf numFmtId="0" fontId="53" fillId="0" borderId="53" applyNumberFormat="0" applyFill="0" applyAlignment="0" applyProtection="0"/>
    <xf numFmtId="0" fontId="53" fillId="0" borderId="53" applyNumberFormat="0" applyFill="0" applyAlignment="0" applyProtection="0"/>
    <xf numFmtId="0" fontId="61" fillId="27" borderId="54" applyNumberFormat="0" applyFont="0" applyAlignment="0" applyProtection="0"/>
    <xf numFmtId="0" fontId="61" fillId="27" borderId="54" applyNumberFormat="0" applyFont="0" applyAlignment="0" applyProtection="0"/>
    <xf numFmtId="0" fontId="61" fillId="27" borderId="54" applyNumberFormat="0" applyFont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28" borderId="55" applyNumberFormat="0" applyAlignment="0" applyProtection="0"/>
    <xf numFmtId="0" fontId="57" fillId="13" borderId="55" applyNumberFormat="0" applyAlignment="0" applyProtection="0"/>
    <xf numFmtId="0" fontId="58" fillId="28" borderId="56" applyNumberFormat="0" applyAlignment="0" applyProtection="0"/>
    <xf numFmtId="0" fontId="58" fillId="28" borderId="56" applyNumberFormat="0" applyAlignment="0" applyProtection="0"/>
    <xf numFmtId="0" fontId="59" fillId="29" borderId="0" applyNumberFormat="0" applyBorder="0" applyAlignment="0" applyProtection="0"/>
    <xf numFmtId="0" fontId="60" fillId="0" borderId="57" applyNumberFormat="0" applyFill="0" applyAlignment="0" applyProtection="0"/>
  </cellStyleXfs>
  <cellXfs count="19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1" applyNumberFormat="1" applyFont="1" applyAlignment="1">
      <alignment vertical="center"/>
    </xf>
    <xf numFmtId="164" fontId="0" fillId="0" borderId="0" xfId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166" fontId="7" fillId="0" borderId="0" xfId="0" applyNumberFormat="1" applyFont="1" applyAlignment="1">
      <alignment vertical="center"/>
    </xf>
    <xf numFmtId="0" fontId="8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66" fontId="5" fillId="0" borderId="0" xfId="0" applyNumberFormat="1" applyFont="1" applyAlignment="1">
      <alignment vertical="center"/>
    </xf>
    <xf numFmtId="166" fontId="7" fillId="0" borderId="5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3" fillId="0" borderId="20" xfId="29" applyFont="1" applyBorder="1" applyAlignment="1">
      <alignment horizontal="left" vertical="center"/>
    </xf>
    <xf numFmtId="0" fontId="13" fillId="0" borderId="20" xfId="0" applyFont="1" applyBorder="1" applyAlignment="1">
      <alignment vertical="center"/>
    </xf>
    <xf numFmtId="0" fontId="13" fillId="0" borderId="21" xfId="29" applyFont="1" applyBorder="1" applyAlignment="1">
      <alignment horizontal="left"/>
    </xf>
    <xf numFmtId="0" fontId="13" fillId="0" borderId="15" xfId="0" applyFont="1" applyBorder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7" fillId="3" borderId="24" xfId="0" applyFont="1" applyFill="1" applyBorder="1" applyAlignment="1">
      <alignment vertical="center" wrapText="1"/>
    </xf>
    <xf numFmtId="166" fontId="15" fillId="5" borderId="25" xfId="0" applyNumberFormat="1" applyFont="1" applyFill="1" applyBorder="1" applyAlignment="1">
      <alignment vertical="center"/>
    </xf>
    <xf numFmtId="0" fontId="7" fillId="3" borderId="26" xfId="0" applyFont="1" applyFill="1" applyBorder="1" applyAlignment="1">
      <alignment vertical="center" wrapText="1"/>
    </xf>
    <xf numFmtId="166" fontId="14" fillId="3" borderId="29" xfId="0" applyNumberFormat="1" applyFont="1" applyFill="1" applyBorder="1" applyAlignment="1">
      <alignment vertical="center"/>
    </xf>
    <xf numFmtId="0" fontId="7" fillId="3" borderId="30" xfId="0" applyFont="1" applyFill="1" applyBorder="1" applyAlignment="1">
      <alignment vertical="center"/>
    </xf>
    <xf numFmtId="0" fontId="8" fillId="3" borderId="33" xfId="0" applyFont="1" applyFill="1" applyBorder="1" applyAlignment="1">
      <alignment vertical="center"/>
    </xf>
    <xf numFmtId="0" fontId="7" fillId="3" borderId="34" xfId="0" applyFont="1" applyFill="1" applyBorder="1" applyAlignment="1">
      <alignment vertical="center"/>
    </xf>
    <xf numFmtId="0" fontId="7" fillId="3" borderId="26" xfId="0" applyFont="1" applyFill="1" applyBorder="1" applyAlignment="1">
      <alignment vertical="center"/>
    </xf>
    <xf numFmtId="0" fontId="10" fillId="3" borderId="33" xfId="0" applyFont="1" applyFill="1" applyBorder="1" applyAlignment="1">
      <alignment vertical="center"/>
    </xf>
    <xf numFmtId="0" fontId="16" fillId="3" borderId="34" xfId="0" applyFont="1" applyFill="1" applyBorder="1" applyAlignment="1">
      <alignment vertical="center" wrapText="1"/>
    </xf>
    <xf numFmtId="0" fontId="7" fillId="3" borderId="26" xfId="0" applyFont="1" applyFill="1" applyBorder="1"/>
    <xf numFmtId="0" fontId="8" fillId="3" borderId="31" xfId="0" applyFont="1" applyFill="1" applyBorder="1" applyAlignment="1">
      <alignment vertical="center"/>
    </xf>
    <xf numFmtId="0" fontId="8" fillId="3" borderId="32" xfId="0" applyFont="1" applyFill="1" applyBorder="1" applyAlignment="1">
      <alignment vertical="center"/>
    </xf>
    <xf numFmtId="0" fontId="7" fillId="3" borderId="26" xfId="0" applyFont="1" applyFill="1" applyBorder="1" applyAlignment="1">
      <alignment horizontal="left" vertical="center"/>
    </xf>
    <xf numFmtId="0" fontId="7" fillId="3" borderId="0" xfId="0" applyFont="1" applyFill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3" borderId="33" xfId="0" applyFont="1" applyFill="1" applyBorder="1" applyAlignment="1">
      <alignment vertical="center"/>
    </xf>
    <xf numFmtId="0" fontId="17" fillId="3" borderId="35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36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7" fillId="0" borderId="37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10" fillId="5" borderId="1" xfId="0" applyFont="1" applyFill="1" applyBorder="1"/>
    <xf numFmtId="0" fontId="10" fillId="5" borderId="2" xfId="0" applyFont="1" applyFill="1" applyBorder="1"/>
    <xf numFmtId="0" fontId="10" fillId="5" borderId="1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6" xfId="0" applyFont="1" applyFill="1" applyBorder="1" applyAlignment="1">
      <alignment vertical="center"/>
    </xf>
    <xf numFmtId="0" fontId="8" fillId="3" borderId="29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21" fillId="3" borderId="2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22" fillId="3" borderId="4" xfId="0" applyFont="1" applyFill="1" applyBorder="1" applyAlignment="1">
      <alignment vertical="center"/>
    </xf>
    <xf numFmtId="0" fontId="23" fillId="3" borderId="4" xfId="0" applyFont="1" applyFill="1" applyBorder="1" applyAlignment="1">
      <alignment vertical="center"/>
    </xf>
    <xf numFmtId="0" fontId="24" fillId="3" borderId="0" xfId="0" applyFont="1" applyFill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17" fillId="4" borderId="33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vertical="center"/>
    </xf>
    <xf numFmtId="0" fontId="8" fillId="3" borderId="7" xfId="0" applyFont="1" applyFill="1" applyBorder="1" applyAlignment="1">
      <alignment vertical="center"/>
    </xf>
    <xf numFmtId="0" fontId="21" fillId="3" borderId="7" xfId="0" applyFont="1" applyFill="1" applyBorder="1" applyAlignment="1">
      <alignment horizontal="right"/>
    </xf>
    <xf numFmtId="0" fontId="7" fillId="3" borderId="6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26" fillId="6" borderId="40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12" fillId="0" borderId="4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7" fillId="0" borderId="42" xfId="0" applyFont="1" applyBorder="1" applyAlignment="1">
      <alignment horizontal="center" vertical="center"/>
    </xf>
    <xf numFmtId="164" fontId="28" fillId="0" borderId="36" xfId="1" applyFont="1" applyBorder="1" applyAlignment="1">
      <alignment horizontal="center" vertical="center" wrapText="1"/>
    </xf>
    <xf numFmtId="4" fontId="29" fillId="0" borderId="36" xfId="1" applyNumberFormat="1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/>
    </xf>
    <xf numFmtId="167" fontId="31" fillId="0" borderId="44" xfId="1" applyNumberFormat="1" applyFont="1" applyFill="1" applyBorder="1" applyAlignment="1">
      <alignment horizontal="center" vertical="center"/>
    </xf>
    <xf numFmtId="167" fontId="32" fillId="0" borderId="45" xfId="1" applyNumberFormat="1" applyFont="1" applyFill="1" applyBorder="1" applyAlignment="1">
      <alignment vertical="center"/>
    </xf>
    <xf numFmtId="0" fontId="10" fillId="0" borderId="46" xfId="0" applyFont="1" applyBorder="1" applyAlignment="1">
      <alignment horizontal="center" vertical="center"/>
    </xf>
    <xf numFmtId="167" fontId="32" fillId="0" borderId="41" xfId="1" applyNumberFormat="1" applyFont="1" applyFill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167" fontId="31" fillId="0" borderId="47" xfId="1" applyNumberFormat="1" applyFont="1" applyFill="1" applyBorder="1" applyAlignment="1">
      <alignment horizontal="center" vertical="center"/>
    </xf>
    <xf numFmtId="167" fontId="32" fillId="0" borderId="33" xfId="1" applyNumberFormat="1" applyFont="1" applyFill="1" applyBorder="1" applyAlignment="1">
      <alignment vertical="center"/>
    </xf>
    <xf numFmtId="0" fontId="33" fillId="0" borderId="25" xfId="0" applyFont="1" applyBorder="1" applyAlignment="1">
      <alignment horizontal="center" vertical="center"/>
    </xf>
    <xf numFmtId="167" fontId="33" fillId="7" borderId="48" xfId="1" applyNumberFormat="1" applyFont="1" applyFill="1" applyBorder="1" applyAlignment="1">
      <alignment horizontal="center" vertical="center"/>
    </xf>
    <xf numFmtId="167" fontId="34" fillId="0" borderId="25" xfId="1" applyNumberFormat="1" applyFont="1" applyFill="1" applyBorder="1" applyAlignment="1">
      <alignment vertical="center"/>
    </xf>
    <xf numFmtId="0" fontId="35" fillId="0" borderId="0" xfId="0" applyFont="1" applyAlignment="1">
      <alignment vertical="center"/>
    </xf>
    <xf numFmtId="166" fontId="15" fillId="5" borderId="37" xfId="0" applyNumberFormat="1" applyFont="1" applyFill="1" applyBorder="1" applyAlignment="1">
      <alignment vertical="center"/>
    </xf>
    <xf numFmtId="166" fontId="15" fillId="5" borderId="39" xfId="0" applyNumberFormat="1" applyFont="1" applyFill="1" applyBorder="1" applyAlignment="1">
      <alignment vertical="center"/>
    </xf>
    <xf numFmtId="0" fontId="0" fillId="3" borderId="3" xfId="0" applyFill="1" applyBorder="1" applyAlignment="1">
      <alignment vertical="center"/>
    </xf>
    <xf numFmtId="166" fontId="14" fillId="0" borderId="4" xfId="0" applyNumberFormat="1" applyFont="1" applyBorder="1" applyAlignment="1">
      <alignment vertical="center"/>
    </xf>
    <xf numFmtId="166" fontId="14" fillId="0" borderId="5" xfId="0" applyNumberFormat="1" applyFont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166" fontId="14" fillId="0" borderId="6" xfId="0" applyNumberFormat="1" applyFont="1" applyBorder="1" applyAlignment="1">
      <alignment vertical="center"/>
    </xf>
    <xf numFmtId="166" fontId="14" fillId="0" borderId="8" xfId="0" applyNumberFormat="1" applyFont="1" applyBorder="1" applyAlignment="1">
      <alignment vertical="center"/>
    </xf>
    <xf numFmtId="0" fontId="35" fillId="0" borderId="0" xfId="0" applyFont="1" applyAlignment="1">
      <alignment horizontal="center" vertical="center"/>
    </xf>
    <xf numFmtId="0" fontId="7" fillId="0" borderId="39" xfId="0" applyFont="1" applyBorder="1" applyAlignment="1">
      <alignment vertical="center"/>
    </xf>
    <xf numFmtId="0" fontId="10" fillId="5" borderId="2" xfId="0" applyFont="1" applyFill="1" applyBorder="1" applyAlignment="1">
      <alignment vertical="center"/>
    </xf>
    <xf numFmtId="0" fontId="10" fillId="5" borderId="0" xfId="0" applyFont="1" applyFill="1" applyAlignment="1">
      <alignment vertical="center"/>
    </xf>
    <xf numFmtId="0" fontId="0" fillId="5" borderId="5" xfId="0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0" fillId="0" borderId="5" xfId="0" applyBorder="1" applyAlignment="1">
      <alignment vertical="center"/>
    </xf>
    <xf numFmtId="0" fontId="22" fillId="3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7" fillId="3" borderId="7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25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164" fontId="8" fillId="0" borderId="0" xfId="1" applyFont="1" applyBorder="1" applyAlignment="1">
      <alignment vertical="center"/>
    </xf>
    <xf numFmtId="165" fontId="8" fillId="0" borderId="0" xfId="1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164" fontId="8" fillId="0" borderId="0" xfId="1" applyFont="1" applyFill="1" applyBorder="1" applyAlignment="1">
      <alignment vertical="center"/>
    </xf>
    <xf numFmtId="0" fontId="37" fillId="0" borderId="0" xfId="0" applyFont="1" applyAlignment="1">
      <alignment vertical="center"/>
    </xf>
    <xf numFmtId="165" fontId="8" fillId="0" borderId="0" xfId="1" applyNumberFormat="1" applyFont="1" applyFill="1" applyBorder="1" applyAlignment="1">
      <alignment vertical="center"/>
    </xf>
    <xf numFmtId="168" fontId="34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4" fontId="25" fillId="0" borderId="0" xfId="0" applyNumberFormat="1" applyFont="1" applyAlignment="1">
      <alignment vertical="center" wrapText="1"/>
    </xf>
    <xf numFmtId="4" fontId="0" fillId="0" borderId="0" xfId="0" applyNumberFormat="1" applyAlignment="1">
      <alignment vertical="center"/>
    </xf>
    <xf numFmtId="4" fontId="27" fillId="0" borderId="0" xfId="0" applyNumberFormat="1" applyFont="1" applyAlignment="1">
      <alignment vertical="center"/>
    </xf>
    <xf numFmtId="4" fontId="38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  <xf numFmtId="166" fontId="14" fillId="4" borderId="2" xfId="0" applyNumberFormat="1" applyFont="1" applyFill="1" applyBorder="1" applyAlignment="1">
      <alignment horizontal="center" vertical="center"/>
    </xf>
    <xf numFmtId="166" fontId="14" fillId="4" borderId="3" xfId="0" applyNumberFormat="1" applyFont="1" applyFill="1" applyBorder="1" applyAlignment="1">
      <alignment horizontal="center" vertical="center"/>
    </xf>
    <xf numFmtId="166" fontId="14" fillId="4" borderId="27" xfId="0" applyNumberFormat="1" applyFont="1" applyFill="1" applyBorder="1" applyAlignment="1">
      <alignment horizontal="center" vertical="center"/>
    </xf>
    <xf numFmtId="166" fontId="14" fillId="4" borderId="28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19" fillId="4" borderId="37" xfId="0" applyFont="1" applyFill="1" applyBorder="1" applyAlignment="1">
      <alignment horizontal="center" vertical="center"/>
    </xf>
    <xf numFmtId="0" fontId="19" fillId="4" borderId="38" xfId="0" applyFont="1" applyFill="1" applyBorder="1" applyAlignment="1">
      <alignment horizontal="center" vertical="center"/>
    </xf>
    <xf numFmtId="0" fontId="19" fillId="4" borderId="39" xfId="0" applyFont="1" applyFill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5" fillId="0" borderId="17" xfId="29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4" fontId="28" fillId="0" borderId="29" xfId="1" applyFont="1" applyBorder="1" applyAlignment="1">
      <alignment horizontal="center" vertical="center" wrapText="1"/>
    </xf>
    <xf numFmtId="164" fontId="28" fillId="0" borderId="41" xfId="1" applyFont="1" applyBorder="1" applyAlignment="1">
      <alignment horizontal="center" vertical="center" wrapText="1"/>
    </xf>
    <xf numFmtId="4" fontId="29" fillId="0" borderId="29" xfId="1" applyNumberFormat="1" applyFont="1" applyBorder="1" applyAlignment="1">
      <alignment horizontal="center" vertical="center" wrapText="1"/>
    </xf>
    <xf numFmtId="4" fontId="29" fillId="0" borderId="41" xfId="1" applyNumberFormat="1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</cellXfs>
  <cellStyles count="61">
    <cellStyle name="20% - 强调文字颜色 1" xfId="2" xr:uid="{00000000-0005-0000-0000-000000000000}"/>
    <cellStyle name="20% - 强调文字颜色 2" xfId="3" xr:uid="{00000000-0005-0000-0000-000001000000}"/>
    <cellStyle name="20% - 强调文字颜色 3" xfId="4" xr:uid="{00000000-0005-0000-0000-000002000000}"/>
    <cellStyle name="20% - 强调文字颜色 4" xfId="5" xr:uid="{00000000-0005-0000-0000-000003000000}"/>
    <cellStyle name="20% - 强调文字颜色 5" xfId="6" xr:uid="{00000000-0005-0000-0000-000004000000}"/>
    <cellStyle name="20% - 强调文字颜色 6" xfId="7" xr:uid="{00000000-0005-0000-0000-000005000000}"/>
    <cellStyle name="40% - 强调文字颜色 1" xfId="8" xr:uid="{00000000-0005-0000-0000-000006000000}"/>
    <cellStyle name="40% - 强调文字颜色 2" xfId="9" xr:uid="{00000000-0005-0000-0000-000007000000}"/>
    <cellStyle name="40% - 强调文字颜色 3" xfId="10" xr:uid="{00000000-0005-0000-0000-000008000000}"/>
    <cellStyle name="40% - 强调文字颜色 4" xfId="11" xr:uid="{00000000-0005-0000-0000-000009000000}"/>
    <cellStyle name="40% - 强调文字颜色 5" xfId="12" xr:uid="{00000000-0005-0000-0000-00000A000000}"/>
    <cellStyle name="40% - 强调文字颜色 6" xfId="13" xr:uid="{00000000-0005-0000-0000-00000B000000}"/>
    <cellStyle name="60% - 强调文字颜色 1" xfId="14" xr:uid="{00000000-0005-0000-0000-00000C000000}"/>
    <cellStyle name="60% - 强调文字颜色 2" xfId="15" xr:uid="{00000000-0005-0000-0000-00000D000000}"/>
    <cellStyle name="60% - 强调文字颜色 3" xfId="16" xr:uid="{00000000-0005-0000-0000-00000E000000}"/>
    <cellStyle name="60% - 强调文字颜色 4" xfId="17" xr:uid="{00000000-0005-0000-0000-00000F000000}"/>
    <cellStyle name="60% - 强调文字颜色 5" xfId="18" xr:uid="{00000000-0005-0000-0000-000010000000}"/>
    <cellStyle name="60% - 强调文字颜色 6" xfId="19" xr:uid="{00000000-0005-0000-0000-000011000000}"/>
    <cellStyle name="Comma" xfId="1" builtinId="3"/>
    <cellStyle name="Comma 2" xfId="20" xr:uid="{00000000-0005-0000-0000-000013000000}"/>
    <cellStyle name="Comma 2 6 2" xfId="21" xr:uid="{00000000-0005-0000-0000-000014000000}"/>
    <cellStyle name="Comma 2 6 2 2" xfId="22" xr:uid="{00000000-0005-0000-0000-000015000000}"/>
    <cellStyle name="Normal" xfId="0" builtinId="0"/>
    <cellStyle name="Normal 2" xfId="23" xr:uid="{00000000-0005-0000-0000-000017000000}"/>
    <cellStyle name="Normal 2 2" xfId="24" xr:uid="{00000000-0005-0000-0000-000018000000}"/>
    <cellStyle name="Normal 2 2 2" xfId="25" xr:uid="{00000000-0005-0000-0000-000019000000}"/>
    <cellStyle name="Normal 2 2 3" xfId="26" xr:uid="{00000000-0005-0000-0000-00001A000000}"/>
    <cellStyle name="Normal 2 5 2 2" xfId="27" xr:uid="{00000000-0005-0000-0000-00001B000000}"/>
    <cellStyle name="Normal 3" xfId="28" xr:uid="{00000000-0005-0000-0000-00001C000000}"/>
    <cellStyle name="Normal_Book1" xfId="29" xr:uid="{00000000-0005-0000-0000-00001D000000}"/>
    <cellStyle name="Percent 2" xfId="30" xr:uid="{00000000-0005-0000-0000-00001E000000}"/>
    <cellStyle name="好" xfId="31" xr:uid="{00000000-0005-0000-0000-00001F000000}"/>
    <cellStyle name="好_PEMBAGIAN" xfId="32" xr:uid="{00000000-0005-0000-0000-000020000000}"/>
    <cellStyle name="差" xfId="33" xr:uid="{00000000-0005-0000-0000-000021000000}"/>
    <cellStyle name="差_PEMBAGIAN" xfId="34" xr:uid="{00000000-0005-0000-0000-000022000000}"/>
    <cellStyle name="强调文字颜色 1" xfId="35" xr:uid="{00000000-0005-0000-0000-000023000000}"/>
    <cellStyle name="强调文字颜色 2" xfId="36" xr:uid="{00000000-0005-0000-0000-000024000000}"/>
    <cellStyle name="强调文字颜色 3" xfId="37" xr:uid="{00000000-0005-0000-0000-000025000000}"/>
    <cellStyle name="强调文字颜色 4" xfId="38" xr:uid="{00000000-0005-0000-0000-000026000000}"/>
    <cellStyle name="强调文字颜色 5" xfId="39" xr:uid="{00000000-0005-0000-0000-000027000000}"/>
    <cellStyle name="强调文字颜色 6" xfId="40" xr:uid="{00000000-0005-0000-0000-000028000000}"/>
    <cellStyle name="标题" xfId="41" xr:uid="{00000000-0005-0000-0000-000029000000}"/>
    <cellStyle name="标题 1" xfId="42" xr:uid="{00000000-0005-0000-0000-00002A000000}"/>
    <cellStyle name="标题 2" xfId="43" xr:uid="{00000000-0005-0000-0000-00002B000000}"/>
    <cellStyle name="标题 3" xfId="44" xr:uid="{00000000-0005-0000-0000-00002C000000}"/>
    <cellStyle name="标题 4" xfId="45" xr:uid="{00000000-0005-0000-0000-00002D000000}"/>
    <cellStyle name="标题_PEMBAGIAN" xfId="46" xr:uid="{00000000-0005-0000-0000-00002E000000}"/>
    <cellStyle name="检查单元格" xfId="47" xr:uid="{00000000-0005-0000-0000-00002F000000}"/>
    <cellStyle name="汇总" xfId="48" xr:uid="{00000000-0005-0000-0000-000030000000}"/>
    <cellStyle name="汇总 2" xfId="49" xr:uid="{00000000-0005-0000-0000-000031000000}"/>
    <cellStyle name="注释" xfId="50" xr:uid="{00000000-0005-0000-0000-000032000000}"/>
    <cellStyle name="注释 2" xfId="51" xr:uid="{00000000-0005-0000-0000-000033000000}"/>
    <cellStyle name="注释 3" xfId="52" xr:uid="{00000000-0005-0000-0000-000034000000}"/>
    <cellStyle name="解释性文本" xfId="53" xr:uid="{00000000-0005-0000-0000-000035000000}"/>
    <cellStyle name="警告文本" xfId="54" xr:uid="{00000000-0005-0000-0000-000036000000}"/>
    <cellStyle name="计算" xfId="55" xr:uid="{00000000-0005-0000-0000-000037000000}"/>
    <cellStyle name="输入" xfId="56" xr:uid="{00000000-0005-0000-0000-000038000000}"/>
    <cellStyle name="输出" xfId="57" xr:uid="{00000000-0005-0000-0000-000039000000}"/>
    <cellStyle name="输出 2" xfId="58" xr:uid="{00000000-0005-0000-0000-00003A000000}"/>
    <cellStyle name="适中" xfId="59" xr:uid="{00000000-0005-0000-0000-00003B000000}"/>
    <cellStyle name="链接单元格" xfId="60" xr:uid="{00000000-0005-0000-0000-00003C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90"/>
      <color rgb="FFFFFF00"/>
      <color rgb="FF900000"/>
      <color rgb="FFDD0806"/>
      <color rgb="FFFCD5B4"/>
      <color rgb="FF538DD5"/>
      <color rgb="FFC4D79B"/>
      <color rgb="FFFFFFFF"/>
      <color rgb="FF00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144145</xdr:colOff>
      <xdr:row>41</xdr:row>
      <xdr:rowOff>119380</xdr:rowOff>
    </xdr:from>
    <xdr:to>
      <xdr:col>1</xdr:col>
      <xdr:colOff>2649855</xdr:colOff>
      <xdr:row>50</xdr:row>
      <xdr:rowOff>142875</xdr:rowOff>
    </xdr:to>
    <xdr:pic>
      <xdr:nvPicPr>
        <xdr:cNvPr id="52525" name="Picture 10">
          <a:extLst>
            <a:ext uri="{FF2B5EF4-FFF2-40B4-BE49-F238E27FC236}">
              <a16:creationId xmlns:a16="http://schemas.microsoft.com/office/drawing/2014/main" id="{00000000-0008-0000-0000-00002D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3066415" y="15511145"/>
          <a:ext cx="2505710" cy="202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2930525</xdr:colOff>
      <xdr:row>41</xdr:row>
      <xdr:rowOff>165735</xdr:rowOff>
    </xdr:from>
    <xdr:to>
      <xdr:col>2</xdr:col>
      <xdr:colOff>2754630</xdr:colOff>
      <xdr:row>51</xdr:row>
      <xdr:rowOff>4505</xdr:rowOff>
    </xdr:to>
    <xdr:pic>
      <xdr:nvPicPr>
        <xdr:cNvPr id="52526" name="Picture 12">
          <a:extLst>
            <a:ext uri="{FF2B5EF4-FFF2-40B4-BE49-F238E27FC236}">
              <a16:creationId xmlns:a16="http://schemas.microsoft.com/office/drawing/2014/main" id="{00000000-0008-0000-0000-00002E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5852795" y="15557500"/>
          <a:ext cx="2972435" cy="203327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1779270</xdr:colOff>
      <xdr:row>51</xdr:row>
      <xdr:rowOff>66040</xdr:rowOff>
    </xdr:from>
    <xdr:ext cx="2087245" cy="585470"/>
    <xdr:sp macro="" textlink="">
      <xdr:nvSpPr>
        <xdr:cNvPr id="3" name="TextBox 3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701540" y="17652365"/>
          <a:ext cx="2087245" cy="58547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请用</a:t>
          </a:r>
          <a:r>
            <a:rPr 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LTA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胶带封箱</a:t>
          </a:r>
          <a:r>
            <a:rPr lang="zh-CN" altLang="en-US" sz="1200">
              <a:solidFill>
                <a:srgbClr val="FFFF00"/>
              </a:solidFill>
            </a:rPr>
            <a:t> 。</a:t>
          </a:r>
          <a:r>
            <a:rPr lang="zh-CN" altLang="en-US" sz="1200" b="0" i="0" u="none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请看图片</a:t>
          </a:r>
          <a:endParaRPr lang="en-US" sz="1200">
            <a:solidFill>
              <a:srgbClr val="FFFF00"/>
            </a:solidFill>
          </a:endParaRPr>
        </a:p>
      </xdr:txBody>
    </xdr:sp>
    <xdr:clientData/>
  </xdr:oneCellAnchor>
  <xdr:twoCellAnchor editAs="oneCell">
    <xdr:from>
      <xdr:col>5</xdr:col>
      <xdr:colOff>74295</xdr:colOff>
      <xdr:row>18</xdr:row>
      <xdr:rowOff>385445</xdr:rowOff>
    </xdr:from>
    <xdr:to>
      <xdr:col>6</xdr:col>
      <xdr:colOff>1564005</xdr:colOff>
      <xdr:row>24</xdr:row>
      <xdr:rowOff>33020</xdr:rowOff>
    </xdr:to>
    <xdr:pic>
      <xdr:nvPicPr>
        <xdr:cNvPr id="52529" name="Picture 13">
          <a:extLst>
            <a:ext uri="{FF2B5EF4-FFF2-40B4-BE49-F238E27FC236}">
              <a16:creationId xmlns:a16="http://schemas.microsoft.com/office/drawing/2014/main" id="{00000000-0008-0000-0000-000031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15137765" y="6309360"/>
          <a:ext cx="3545840" cy="2314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1495901</xdr:colOff>
      <xdr:row>18</xdr:row>
      <xdr:rowOff>374174</xdr:rowOff>
    </xdr:from>
    <xdr:to>
      <xdr:col>6</xdr:col>
      <xdr:colOff>473234</xdr:colOff>
      <xdr:row>23</xdr:row>
      <xdr:rowOff>421164</xdr:rowOff>
    </xdr:to>
    <xdr:sp macro="" textlink="">
      <xdr:nvSpPr>
        <xdr:cNvPr id="5" name="Oval 4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17170614">
          <a:off x="15941040" y="6915785"/>
          <a:ext cx="2269490" cy="103378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/>
        </a:p>
      </xdr:txBody>
    </xdr:sp>
    <xdr:clientData/>
  </xdr:twoCellAnchor>
  <xdr:twoCellAnchor editAs="oneCell">
    <xdr:from>
      <xdr:col>4</xdr:col>
      <xdr:colOff>149225</xdr:colOff>
      <xdr:row>18</xdr:row>
      <xdr:rowOff>191770</xdr:rowOff>
    </xdr:from>
    <xdr:to>
      <xdr:col>4</xdr:col>
      <xdr:colOff>2472690</xdr:colOff>
      <xdr:row>22</xdr:row>
      <xdr:rowOff>416560</xdr:rowOff>
    </xdr:to>
    <xdr:pic>
      <xdr:nvPicPr>
        <xdr:cNvPr id="52533" name="Picture 5">
          <a:extLst>
            <a:ext uri="{FF2B5EF4-FFF2-40B4-BE49-F238E27FC236}">
              <a16:creationId xmlns:a16="http://schemas.microsoft.com/office/drawing/2014/main" id="{00000000-0008-0000-0000-000035C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/>
        <a:stretch>
          <a:fillRect/>
        </a:stretch>
      </xdr:blipFill>
      <xdr:spPr>
        <a:xfrm>
          <a:off x="12290425" y="6115685"/>
          <a:ext cx="2323465" cy="2002790"/>
        </a:xfrm>
        <a:prstGeom prst="rect">
          <a:avLst/>
        </a:prstGeom>
        <a:noFill/>
        <a:ln w="1">
          <a:noFill/>
        </a:ln>
      </xdr:spPr>
    </xdr:pic>
    <xdr:clientData/>
  </xdr:twoCellAnchor>
  <xdr:oneCellAnchor>
    <xdr:from>
      <xdr:col>4</xdr:col>
      <xdr:colOff>105410</xdr:colOff>
      <xdr:row>23</xdr:row>
      <xdr:rowOff>156845</xdr:rowOff>
    </xdr:from>
    <xdr:ext cx="2503805" cy="512445"/>
    <xdr:sp macro="" textlink="">
      <xdr:nvSpPr>
        <xdr:cNvPr id="6" name="TextBox 1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2246610" y="8303260"/>
          <a:ext cx="2503805" cy="51244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200">
              <a:solidFill>
                <a:srgbClr val="FFFF00"/>
              </a:solidFill>
            </a:rPr>
            <a:t>PUT PRODUCT TAG INTO SHOE</a:t>
          </a:r>
          <a:r>
            <a:rPr lang="en-US" sz="1200" baseline="0">
              <a:solidFill>
                <a:srgbClr val="FFFF00"/>
              </a:solidFill>
            </a:rPr>
            <a:t> BOX</a:t>
          </a:r>
        </a:p>
      </xdr:txBody>
    </xdr:sp>
    <xdr:clientData/>
  </xdr:oneCellAnchor>
  <xdr:twoCellAnchor editAs="oneCell">
    <xdr:from>
      <xdr:col>0</xdr:col>
      <xdr:colOff>407035</xdr:colOff>
      <xdr:row>41</xdr:row>
      <xdr:rowOff>19050</xdr:rowOff>
    </xdr:from>
    <xdr:to>
      <xdr:col>0</xdr:col>
      <xdr:colOff>2528570</xdr:colOff>
      <xdr:row>52</xdr:row>
      <xdr:rowOff>23495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7035" y="15410815"/>
          <a:ext cx="2121535" cy="2392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341630</xdr:colOff>
      <xdr:row>18</xdr:row>
      <xdr:rowOff>186055</xdr:rowOff>
    </xdr:from>
    <xdr:to>
      <xdr:col>3</xdr:col>
      <xdr:colOff>2270760</xdr:colOff>
      <xdr:row>24</xdr:row>
      <xdr:rowOff>285115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9022987" y="6037126"/>
          <a:ext cx="1929130" cy="2711632"/>
          <a:chOff x="8886" y="9691"/>
          <a:chExt cx="3038" cy="3156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8886" y="9691"/>
            <a:ext cx="3039" cy="3156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8" name="Oval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9214" y="11467"/>
            <a:ext cx="2111" cy="690"/>
          </a:xfrm>
          <a:prstGeom prst="ellipse">
            <a:avLst/>
          </a:prstGeom>
          <a:ln>
            <a:solidFill>
              <a:srgbClr val="FF0000"/>
            </a:solidFill>
          </a:ln>
        </xdr:spPr>
        <xdr:style>
          <a:lnRef idx="3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</xdr:col>
      <xdr:colOff>737870</xdr:colOff>
      <xdr:row>23</xdr:row>
      <xdr:rowOff>95250</xdr:rowOff>
    </xdr:from>
    <xdr:to>
      <xdr:col>2</xdr:col>
      <xdr:colOff>1776384</xdr:colOff>
      <xdr:row>25</xdr:row>
      <xdr:rowOff>254148</xdr:rowOff>
    </xdr:to>
    <xdr:sp macro="" textlink="">
      <xdr:nvSpPr>
        <xdr:cNvPr id="15" name="AutoShape 5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>
        <a:xfrm>
          <a:off x="3660140" y="8241665"/>
          <a:ext cx="4186555" cy="1047750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lang="en-US" sz="1000" b="1">
              <a:effectLst/>
              <a:latin typeface="+mn-lt"/>
              <a:ea typeface="+mn-ea"/>
              <a:cs typeface="+mn-cs"/>
            </a:rPr>
            <a:t>ES-JKT
</a:t>
          </a:r>
          <a:endParaRPr lang="en-US" sz="1100" b="0" i="0" u="none" strike="noStrike" baseline="0">
            <a:solidFill>
              <a:srgbClr val="000000"/>
            </a:solidFill>
            <a:latin typeface="Arial" panose="020B0704020202020204"/>
            <a:cs typeface="Arial" panose="020B0704020202020204"/>
          </a:endParaRPr>
        </a:p>
      </xdr:txBody>
    </xdr:sp>
    <xdr:clientData/>
  </xdr:twoCellAnchor>
  <xdr:twoCellAnchor editAs="oneCell">
    <xdr:from>
      <xdr:col>1</xdr:col>
      <xdr:colOff>1403985</xdr:colOff>
      <xdr:row>19</xdr:row>
      <xdr:rowOff>63500</xdr:rowOff>
    </xdr:from>
    <xdr:to>
      <xdr:col>2</xdr:col>
      <xdr:colOff>2023745</xdr:colOff>
      <xdr:row>20</xdr:row>
      <xdr:rowOff>376555</xdr:rowOff>
    </xdr:to>
    <xdr:pic>
      <xdr:nvPicPr>
        <xdr:cNvPr id="13" name="Picture 12" descr="es-eb_logo_exports_es-eb_logo_wordmark_black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26255" y="6431915"/>
          <a:ext cx="3768090" cy="757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56"/>
  <sheetViews>
    <sheetView showGridLines="0" tabSelected="1" topLeftCell="A2" zoomScale="35" zoomScaleNormal="25" workbookViewId="0">
      <selection activeCell="D5" sqref="D5"/>
    </sheetView>
  </sheetViews>
  <sheetFormatPr defaultColWidth="11.42578125" defaultRowHeight="18"/>
  <cols>
    <col min="1" max="1" width="41.140625" style="2" customWidth="1"/>
    <col min="2" max="3" width="44.28515625" style="2" customWidth="1"/>
    <col min="4" max="4" width="41.140625" style="3" customWidth="1"/>
    <col min="5" max="5" width="41.140625" style="2" customWidth="1"/>
    <col min="6" max="8" width="28.85546875" style="2" customWidth="1"/>
    <col min="9" max="11" width="26.85546875" style="2" customWidth="1"/>
    <col min="12" max="14" width="8.5703125" style="2" customWidth="1"/>
    <col min="15" max="15" width="13.140625" style="2" customWidth="1"/>
    <col min="16" max="16" width="17.7109375" style="2" customWidth="1"/>
    <col min="17" max="17" width="22.140625" style="4" customWidth="1"/>
    <col min="18" max="18" width="12.42578125" style="5" customWidth="1"/>
    <col min="19" max="19" width="20.42578125" style="6" customWidth="1"/>
    <col min="20" max="20" width="11.42578125" style="7"/>
    <col min="21" max="16384" width="11.42578125" style="2"/>
  </cols>
  <sheetData>
    <row r="1" spans="1:20" ht="23.25">
      <c r="A1" s="161" t="s">
        <v>0</v>
      </c>
      <c r="B1" s="162"/>
      <c r="C1" s="163"/>
      <c r="D1" s="8"/>
      <c r="E1" s="87"/>
      <c r="F1" s="87"/>
      <c r="G1" s="88" t="s">
        <v>1</v>
      </c>
      <c r="L1" s="7"/>
      <c r="M1" s="7"/>
      <c r="N1" s="7"/>
      <c r="O1" s="7"/>
      <c r="P1" s="7"/>
      <c r="Q1" s="147"/>
      <c r="R1" s="88"/>
    </row>
    <row r="2" spans="1:20" ht="24" customHeight="1">
      <c r="A2" s="9" t="s">
        <v>2</v>
      </c>
      <c r="B2" s="10" t="s">
        <v>43</v>
      </c>
      <c r="C2" s="11"/>
      <c r="D2" s="12"/>
      <c r="E2" s="89"/>
      <c r="F2" s="89"/>
      <c r="G2" s="90" t="s">
        <v>3</v>
      </c>
      <c r="H2" s="89"/>
      <c r="L2" s="136"/>
      <c r="M2" s="136"/>
      <c r="N2" s="136"/>
      <c r="O2" s="136"/>
      <c r="P2" s="136"/>
      <c r="Q2" s="148"/>
      <c r="R2" s="90"/>
    </row>
    <row r="3" spans="1:20" ht="24" customHeight="1">
      <c r="A3" s="13"/>
      <c r="B3" s="14"/>
      <c r="C3" s="15"/>
      <c r="E3" s="91" t="s">
        <v>4</v>
      </c>
      <c r="F3" s="92"/>
      <c r="G3" s="3" t="s">
        <v>5</v>
      </c>
      <c r="H3" s="92"/>
      <c r="Q3" s="149"/>
      <c r="R3" s="3"/>
    </row>
    <row r="4" spans="1:20" ht="24" customHeight="1">
      <c r="A4" s="16" t="s">
        <v>6</v>
      </c>
      <c r="B4" s="17" t="s">
        <v>45</v>
      </c>
      <c r="C4" s="18"/>
      <c r="E4" s="93" t="s">
        <v>44</v>
      </c>
      <c r="F4" s="89"/>
      <c r="G4" s="94" t="s">
        <v>7</v>
      </c>
      <c r="H4" s="89"/>
      <c r="L4" s="137"/>
      <c r="M4" s="137"/>
      <c r="N4" s="137"/>
      <c r="O4" s="137"/>
      <c r="P4" s="137"/>
      <c r="Q4" s="150"/>
      <c r="R4" s="94"/>
    </row>
    <row r="5" spans="1:20" ht="24" customHeight="1">
      <c r="A5" s="19" t="s">
        <v>8</v>
      </c>
      <c r="B5" s="20" t="s">
        <v>9</v>
      </c>
      <c r="C5" s="21"/>
      <c r="D5" s="22"/>
      <c r="E5" s="93" t="s">
        <v>48</v>
      </c>
      <c r="F5" s="89"/>
      <c r="G5" s="94" t="s">
        <v>10</v>
      </c>
      <c r="H5" s="89"/>
      <c r="L5" s="137"/>
      <c r="M5" s="137"/>
      <c r="N5" s="137"/>
      <c r="O5" s="137"/>
      <c r="P5" s="137"/>
      <c r="Q5" s="150"/>
      <c r="R5" s="94"/>
    </row>
    <row r="6" spans="1:20">
      <c r="E6" s="3"/>
    </row>
    <row r="7" spans="1:20" ht="15.75" customHeight="1">
      <c r="A7" s="172" t="s">
        <v>11</v>
      </c>
      <c r="B7" s="176" t="s">
        <v>12</v>
      </c>
      <c r="C7" s="176" t="s">
        <v>13</v>
      </c>
      <c r="D7" s="178" t="s">
        <v>14</v>
      </c>
      <c r="E7" s="181" t="s">
        <v>15</v>
      </c>
      <c r="F7" s="183" t="s">
        <v>16</v>
      </c>
      <c r="G7" s="185" t="s">
        <v>17</v>
      </c>
      <c r="H7" s="95"/>
      <c r="I7" s="95"/>
      <c r="J7" s="95"/>
      <c r="Q7" s="2"/>
      <c r="R7" s="2"/>
      <c r="S7" s="2"/>
      <c r="T7" s="2"/>
    </row>
    <row r="8" spans="1:20" ht="21" customHeight="1">
      <c r="A8" s="173"/>
      <c r="B8" s="177"/>
      <c r="C8" s="177"/>
      <c r="D8" s="179"/>
      <c r="E8" s="182"/>
      <c r="F8" s="184"/>
      <c r="G8" s="186"/>
      <c r="H8" s="95"/>
      <c r="I8" s="95"/>
      <c r="J8" s="95"/>
      <c r="Q8" s="2"/>
      <c r="R8" s="2"/>
      <c r="S8" s="2"/>
      <c r="T8" s="2"/>
    </row>
    <row r="9" spans="1:20" ht="31.5">
      <c r="A9" s="174"/>
      <c r="B9" s="23" t="s">
        <v>18</v>
      </c>
      <c r="C9" s="23" t="s">
        <v>19</v>
      </c>
      <c r="D9" s="180"/>
      <c r="E9" s="96" t="s">
        <v>20</v>
      </c>
      <c r="F9" s="97" t="s">
        <v>21</v>
      </c>
      <c r="G9" s="98" t="s">
        <v>21</v>
      </c>
      <c r="H9" s="95"/>
      <c r="I9" s="95"/>
      <c r="J9" s="95"/>
      <c r="Q9" s="2"/>
      <c r="R9" s="2"/>
      <c r="S9" s="2"/>
      <c r="T9" s="2"/>
    </row>
    <row r="10" spans="1:20" s="1" customFormat="1" ht="27.75" customHeight="1">
      <c r="A10" s="175" t="s">
        <v>46</v>
      </c>
      <c r="B10" s="24" t="s">
        <v>49</v>
      </c>
      <c r="C10" s="25" t="s">
        <v>47</v>
      </c>
      <c r="D10" s="26" t="s">
        <v>51</v>
      </c>
      <c r="E10" s="99">
        <v>600</v>
      </c>
      <c r="F10" s="100">
        <v>45000</v>
      </c>
      <c r="G10" s="101">
        <f t="shared" ref="G10:G15" si="0">F10*E10</f>
        <v>27000000</v>
      </c>
      <c r="H10" s="95"/>
      <c r="I10" s="95"/>
      <c r="J10" s="95"/>
    </row>
    <row r="11" spans="1:20" s="1" customFormat="1" ht="27.75" customHeight="1">
      <c r="A11" s="175"/>
      <c r="B11" s="27"/>
      <c r="C11" s="28"/>
      <c r="D11" s="26"/>
      <c r="E11" s="102"/>
      <c r="F11" s="100"/>
      <c r="G11" s="103">
        <f t="shared" si="0"/>
        <v>0</v>
      </c>
      <c r="H11" s="95"/>
      <c r="I11" s="95"/>
      <c r="J11" s="95"/>
    </row>
    <row r="12" spans="1:20" s="1" customFormat="1" ht="27.75" customHeight="1">
      <c r="A12" s="29" t="s">
        <v>50</v>
      </c>
      <c r="B12" s="24"/>
      <c r="C12" s="25"/>
      <c r="D12" s="26"/>
      <c r="E12" s="102"/>
      <c r="F12" s="100"/>
      <c r="G12" s="103">
        <f t="shared" si="0"/>
        <v>0</v>
      </c>
      <c r="H12" s="95"/>
      <c r="I12" s="95"/>
      <c r="J12" s="95"/>
    </row>
    <row r="13" spans="1:20" s="1" customFormat="1" ht="27.75" customHeight="1">
      <c r="A13" s="30" t="s">
        <v>22</v>
      </c>
      <c r="B13" s="27"/>
      <c r="C13" s="28"/>
      <c r="D13" s="26"/>
      <c r="E13" s="102"/>
      <c r="F13" s="100"/>
      <c r="G13" s="103">
        <f t="shared" si="0"/>
        <v>0</v>
      </c>
      <c r="H13" s="95"/>
      <c r="I13" s="95"/>
      <c r="J13" s="95"/>
    </row>
    <row r="14" spans="1:20" s="1" customFormat="1" ht="27.75" customHeight="1">
      <c r="A14" s="31"/>
      <c r="B14" s="27"/>
      <c r="C14" s="28"/>
      <c r="D14" s="26"/>
      <c r="E14" s="102"/>
      <c r="F14" s="100"/>
      <c r="G14" s="103">
        <f t="shared" si="0"/>
        <v>0</v>
      </c>
      <c r="H14" s="95"/>
      <c r="I14" s="95"/>
      <c r="J14" s="95"/>
    </row>
    <row r="15" spans="1:20" s="1" customFormat="1" ht="27.75" customHeight="1">
      <c r="A15" s="32"/>
      <c r="B15" s="33"/>
      <c r="C15" s="34"/>
      <c r="D15" s="35"/>
      <c r="E15" s="104"/>
      <c r="F15" s="105"/>
      <c r="G15" s="106">
        <f t="shared" si="0"/>
        <v>0</v>
      </c>
      <c r="H15" s="95"/>
      <c r="I15" s="95"/>
      <c r="J15" s="95"/>
    </row>
    <row r="16" spans="1:20" s="1" customFormat="1" ht="27.75" customHeight="1">
      <c r="A16" s="2"/>
      <c r="B16" s="2"/>
      <c r="C16" s="2"/>
      <c r="D16" s="3"/>
      <c r="E16" s="107">
        <f>SUM(E10:E15)</f>
        <v>600</v>
      </c>
      <c r="F16" s="108"/>
      <c r="G16" s="109">
        <f>SUM(G10:G15)</f>
        <v>27000000</v>
      </c>
      <c r="H16" s="110"/>
      <c r="I16" s="110"/>
      <c r="J16" s="110"/>
    </row>
    <row r="17" spans="1:21" ht="27.75" customHeight="1">
      <c r="O17" s="120"/>
      <c r="P17" s="145"/>
      <c r="Q17" s="151"/>
      <c r="R17" s="145"/>
      <c r="S17" s="145"/>
    </row>
    <row r="18" spans="1:21" ht="35.1" customHeight="1">
      <c r="A18" s="36" t="s">
        <v>23</v>
      </c>
      <c r="B18" s="153">
        <v>46234</v>
      </c>
      <c r="C18" s="154"/>
      <c r="D18" s="37" t="s">
        <v>24</v>
      </c>
      <c r="E18" s="111" t="s">
        <v>25</v>
      </c>
      <c r="F18" s="111" t="s">
        <v>26</v>
      </c>
      <c r="G18" s="112"/>
      <c r="H18" s="5"/>
      <c r="I18" s="6"/>
      <c r="J18" s="138"/>
      <c r="K18" s="139"/>
      <c r="Q18" s="2"/>
      <c r="R18" s="2"/>
      <c r="S18" s="2"/>
      <c r="T18" s="2"/>
    </row>
    <row r="19" spans="1:21" ht="35.1" customHeight="1">
      <c r="A19" s="38" t="s">
        <v>27</v>
      </c>
      <c r="B19" s="155"/>
      <c r="C19" s="156"/>
      <c r="D19" s="39"/>
      <c r="E19" s="113"/>
      <c r="F19" s="114"/>
      <c r="G19" s="115"/>
      <c r="H19" s="5"/>
      <c r="I19" s="6"/>
      <c r="J19" s="140"/>
      <c r="K19" s="141"/>
      <c r="Q19" s="2"/>
      <c r="R19" s="2"/>
      <c r="S19" s="2"/>
      <c r="T19" s="2"/>
    </row>
    <row r="20" spans="1:21" ht="35.1" customHeight="1">
      <c r="A20" s="40" t="s">
        <v>28</v>
      </c>
      <c r="B20" s="187"/>
      <c r="C20" s="188"/>
      <c r="D20" s="41"/>
      <c r="E20" s="116"/>
      <c r="F20" s="114"/>
      <c r="G20" s="115"/>
      <c r="H20" s="5"/>
      <c r="I20" s="6"/>
      <c r="J20" s="138"/>
      <c r="K20" s="139"/>
      <c r="Q20" s="2"/>
      <c r="R20" s="2"/>
      <c r="S20" s="2"/>
      <c r="T20" s="2"/>
    </row>
    <row r="21" spans="1:21" ht="35.1" customHeight="1">
      <c r="A21" s="42" t="s">
        <v>29</v>
      </c>
      <c r="B21" s="189"/>
      <c r="C21" s="190"/>
      <c r="D21" s="41"/>
      <c r="E21" s="116"/>
      <c r="F21" s="114"/>
      <c r="G21" s="115"/>
      <c r="H21" s="5"/>
      <c r="I21" s="6"/>
      <c r="J21" s="142"/>
      <c r="K21" s="139"/>
      <c r="L21" s="143"/>
      <c r="M21" s="143"/>
      <c r="Q21" s="2"/>
      <c r="R21" s="2"/>
      <c r="S21" s="2"/>
      <c r="T21" s="2"/>
    </row>
    <row r="22" spans="1:21" ht="35.1" customHeight="1">
      <c r="A22" s="43" t="s">
        <v>30</v>
      </c>
      <c r="B22" s="157" t="s">
        <v>31</v>
      </c>
      <c r="C22" s="158"/>
      <c r="D22" s="44"/>
      <c r="E22" s="116"/>
      <c r="F22" s="114"/>
      <c r="G22" s="115"/>
      <c r="H22" s="5"/>
      <c r="I22" s="6"/>
      <c r="J22" s="142"/>
      <c r="K22" s="139"/>
      <c r="L22" s="143"/>
      <c r="M22" s="143"/>
      <c r="Q22" s="2"/>
      <c r="R22" s="2"/>
      <c r="S22" s="2"/>
      <c r="T22" s="2"/>
    </row>
    <row r="23" spans="1:21" ht="35.1" customHeight="1">
      <c r="A23" s="45"/>
      <c r="B23" s="159"/>
      <c r="C23" s="160"/>
      <c r="D23" s="44"/>
      <c r="E23" s="116"/>
      <c r="F23" s="114"/>
      <c r="G23" s="115"/>
      <c r="H23" s="5"/>
      <c r="I23" s="6"/>
      <c r="J23" s="142"/>
      <c r="K23" s="139"/>
      <c r="L23" s="143"/>
      <c r="M23" s="143"/>
      <c r="Q23" s="2"/>
      <c r="R23" s="2"/>
      <c r="S23" s="2"/>
      <c r="T23" s="2"/>
    </row>
    <row r="24" spans="1:21" ht="35.1" customHeight="1">
      <c r="A24" s="46" t="s">
        <v>32</v>
      </c>
      <c r="B24" s="47"/>
      <c r="C24" s="48"/>
      <c r="D24" s="41"/>
      <c r="E24" s="116"/>
      <c r="F24" s="114"/>
      <c r="G24" s="115"/>
      <c r="H24" s="5"/>
      <c r="I24" s="6"/>
      <c r="J24" s="142"/>
      <c r="K24" s="144"/>
      <c r="L24" s="143"/>
      <c r="M24" s="143"/>
      <c r="Q24" s="2"/>
      <c r="R24" s="2"/>
      <c r="S24" s="2"/>
      <c r="T24" s="2"/>
    </row>
    <row r="25" spans="1:21" ht="35.1" customHeight="1">
      <c r="A25" s="49" t="s">
        <v>33</v>
      </c>
      <c r="B25" s="50"/>
      <c r="C25" s="51"/>
      <c r="D25" s="52"/>
      <c r="E25" s="116"/>
      <c r="F25" s="114"/>
      <c r="G25" s="115"/>
      <c r="H25" s="5"/>
      <c r="I25" s="6"/>
      <c r="J25" s="142"/>
      <c r="K25" s="144"/>
      <c r="L25" s="143"/>
      <c r="M25" s="143"/>
      <c r="Q25" s="2"/>
      <c r="R25" s="2"/>
      <c r="S25" s="2"/>
      <c r="T25" s="2"/>
    </row>
    <row r="26" spans="1:21" ht="35.1" customHeight="1">
      <c r="A26" s="53"/>
      <c r="B26" s="54"/>
      <c r="C26" s="55"/>
      <c r="D26" s="56"/>
      <c r="E26" s="117"/>
      <c r="F26" s="118"/>
      <c r="G26" s="119"/>
      <c r="H26" s="5"/>
      <c r="I26" s="6"/>
      <c r="J26" s="142"/>
      <c r="K26" s="144"/>
      <c r="L26" s="143"/>
      <c r="M26" s="143"/>
      <c r="Q26" s="2"/>
      <c r="R26" s="2"/>
      <c r="S26" s="2"/>
      <c r="T26" s="2"/>
    </row>
    <row r="27" spans="1:21" ht="24.75" customHeight="1">
      <c r="A27" s="57"/>
      <c r="B27" s="58"/>
      <c r="C27" s="58"/>
      <c r="D27" s="59"/>
      <c r="H27" s="120"/>
      <c r="I27" s="120"/>
      <c r="O27" s="146"/>
      <c r="P27" s="146"/>
      <c r="Q27" s="152"/>
      <c r="R27" s="146"/>
      <c r="S27" s="146"/>
      <c r="T27" s="146"/>
      <c r="U27" s="141"/>
    </row>
    <row r="28" spans="1:21" ht="28.5" customHeight="1">
      <c r="A28" s="60" t="s">
        <v>34</v>
      </c>
      <c r="B28" s="61"/>
      <c r="C28" s="61"/>
      <c r="D28" s="61"/>
      <c r="E28" s="61"/>
      <c r="F28" s="61"/>
      <c r="G28" s="61"/>
      <c r="H28" s="121"/>
      <c r="I28" s="139"/>
      <c r="J28" s="7"/>
      <c r="Q28" s="2"/>
      <c r="R28" s="2"/>
      <c r="S28" s="2"/>
      <c r="T28" s="2"/>
    </row>
    <row r="29" spans="1:21" ht="36.75" customHeight="1">
      <c r="A29" s="164" t="str">
        <f>B10</f>
        <v>262EB173</v>
      </c>
      <c r="B29" s="165"/>
      <c r="C29" s="165"/>
      <c r="D29" s="165"/>
      <c r="E29" s="165"/>
      <c r="F29" s="165"/>
      <c r="G29" s="165"/>
      <c r="H29" s="166"/>
      <c r="I29" s="141"/>
      <c r="J29" s="7"/>
      <c r="Q29" s="2"/>
      <c r="R29" s="2"/>
      <c r="S29" s="2"/>
      <c r="T29" s="2"/>
    </row>
    <row r="30" spans="1:21" ht="36.75" customHeight="1">
      <c r="A30" s="164" t="str">
        <f>C10</f>
        <v>CAYO</v>
      </c>
      <c r="B30" s="165"/>
      <c r="C30" s="165"/>
      <c r="D30" s="165"/>
      <c r="E30" s="165"/>
      <c r="F30" s="165"/>
      <c r="G30" s="165"/>
      <c r="H30" s="166"/>
      <c r="I30" s="141"/>
      <c r="J30" s="7"/>
      <c r="Q30" s="2"/>
      <c r="R30" s="2"/>
      <c r="S30" s="2"/>
      <c r="T30" s="2"/>
    </row>
    <row r="31" spans="1:21" ht="33" customHeight="1">
      <c r="A31" s="62"/>
      <c r="B31" s="63"/>
      <c r="C31" s="62"/>
      <c r="D31" s="63"/>
      <c r="E31" s="62"/>
      <c r="F31" s="74"/>
      <c r="G31" s="62"/>
      <c r="H31" s="63"/>
      <c r="I31" s="139"/>
      <c r="J31" s="7"/>
      <c r="Q31" s="2"/>
      <c r="R31" s="2"/>
      <c r="S31" s="2"/>
      <c r="T31" s="2"/>
    </row>
    <row r="32" spans="1:21" ht="33" customHeight="1">
      <c r="A32" s="62"/>
      <c r="B32" s="63"/>
      <c r="C32" s="62"/>
      <c r="D32" s="63"/>
      <c r="E32" s="62"/>
      <c r="F32" s="74"/>
      <c r="G32" s="62"/>
      <c r="H32" s="63"/>
      <c r="I32" s="139"/>
      <c r="J32" s="7"/>
      <c r="Q32" s="2"/>
      <c r="R32" s="2"/>
      <c r="S32" s="2"/>
      <c r="T32" s="2"/>
    </row>
    <row r="33" spans="1:20" ht="33" customHeight="1">
      <c r="A33" s="62"/>
      <c r="B33" s="63"/>
      <c r="C33" s="62"/>
      <c r="D33" s="63"/>
      <c r="E33" s="62"/>
      <c r="F33" s="74"/>
      <c r="G33" s="62"/>
      <c r="H33" s="63"/>
      <c r="I33" s="139"/>
      <c r="J33" s="7"/>
      <c r="Q33" s="2"/>
      <c r="R33" s="2"/>
      <c r="S33" s="2"/>
      <c r="T33" s="2"/>
    </row>
    <row r="34" spans="1:20" ht="33" customHeight="1">
      <c r="A34" s="62"/>
      <c r="B34" s="63"/>
      <c r="C34" s="62"/>
      <c r="D34" s="63"/>
      <c r="E34" s="62"/>
      <c r="F34" s="74"/>
      <c r="G34" s="62"/>
      <c r="H34" s="63"/>
      <c r="I34" s="139"/>
      <c r="J34" s="7"/>
      <c r="Q34" s="2"/>
      <c r="R34" s="2"/>
      <c r="S34" s="2"/>
      <c r="T34" s="2"/>
    </row>
    <row r="35" spans="1:20" ht="33" customHeight="1">
      <c r="A35" s="62"/>
      <c r="B35" s="63"/>
      <c r="C35" s="62"/>
      <c r="D35" s="63"/>
      <c r="E35" s="62"/>
      <c r="F35" s="74"/>
      <c r="G35" s="62"/>
      <c r="H35" s="63"/>
      <c r="I35" s="144"/>
      <c r="J35" s="7"/>
      <c r="Q35" s="2"/>
      <c r="R35" s="2"/>
      <c r="S35" s="2"/>
      <c r="T35" s="2"/>
    </row>
    <row r="36" spans="1:20" ht="33" customHeight="1">
      <c r="A36" s="62"/>
      <c r="B36" s="63"/>
      <c r="C36" s="62"/>
      <c r="D36" s="63"/>
      <c r="E36" s="62"/>
      <c r="F36" s="74"/>
      <c r="G36" s="62"/>
      <c r="H36" s="63"/>
      <c r="I36" s="144"/>
      <c r="J36" s="7"/>
      <c r="Q36" s="2"/>
      <c r="R36" s="2"/>
      <c r="S36" s="2"/>
      <c r="T36" s="2"/>
    </row>
    <row r="37" spans="1:20" ht="33" customHeight="1">
      <c r="A37" s="62" t="s">
        <v>51</v>
      </c>
      <c r="B37" s="63"/>
      <c r="C37" s="62"/>
      <c r="D37" s="63"/>
      <c r="E37" s="62"/>
      <c r="F37" s="74"/>
      <c r="G37" s="62"/>
      <c r="H37" s="63"/>
      <c r="I37" s="144"/>
      <c r="J37" s="7"/>
      <c r="Q37" s="2"/>
      <c r="R37" s="2"/>
      <c r="S37" s="2"/>
      <c r="T37" s="2"/>
    </row>
    <row r="38" spans="1:20" ht="33" customHeight="1">
      <c r="A38" s="62"/>
      <c r="B38" s="63"/>
      <c r="C38" s="62"/>
      <c r="D38" s="63"/>
      <c r="E38" s="62"/>
      <c r="F38" s="74"/>
      <c r="G38" s="62"/>
      <c r="H38" s="63"/>
      <c r="I38" s="141"/>
      <c r="J38" s="7"/>
      <c r="Q38" s="2"/>
      <c r="R38" s="2"/>
      <c r="S38" s="2"/>
      <c r="T38" s="2"/>
    </row>
    <row r="39" spans="1:20" ht="36" customHeight="1">
      <c r="A39" s="167" t="str">
        <f>D10</f>
        <v>LIGHT GREY</v>
      </c>
      <c r="B39" s="168"/>
      <c r="C39" s="169">
        <f>D11</f>
        <v>0</v>
      </c>
      <c r="D39" s="170"/>
      <c r="E39" s="167">
        <f>D12</f>
        <v>0</v>
      </c>
      <c r="F39" s="171"/>
      <c r="G39" s="167">
        <f>D13</f>
        <v>0</v>
      </c>
      <c r="H39" s="168"/>
      <c r="J39" s="7"/>
      <c r="Q39" s="2"/>
      <c r="R39" s="2"/>
      <c r="S39" s="2"/>
      <c r="T39" s="2"/>
    </row>
    <row r="40" spans="1:20" ht="18.75">
      <c r="A40" s="64" t="s">
        <v>35</v>
      </c>
      <c r="B40" s="65"/>
      <c r="C40" s="65"/>
      <c r="D40" s="66" t="s">
        <v>36</v>
      </c>
      <c r="E40" s="122"/>
      <c r="F40" s="122"/>
      <c r="G40" s="123"/>
      <c r="H40" s="124"/>
      <c r="Q40" s="2"/>
      <c r="R40" s="2"/>
      <c r="S40" s="2"/>
      <c r="T40" s="2"/>
    </row>
    <row r="41" spans="1:20">
      <c r="A41" s="67"/>
      <c r="B41" s="68"/>
      <c r="C41" s="68"/>
      <c r="D41" s="69" t="s">
        <v>37</v>
      </c>
      <c r="E41" s="125"/>
      <c r="F41" s="125"/>
      <c r="G41" s="125"/>
      <c r="H41" s="126"/>
      <c r="Q41" s="2"/>
      <c r="R41" s="2"/>
      <c r="S41" s="2"/>
      <c r="T41" s="2"/>
    </row>
    <row r="42" spans="1:20" ht="18.75">
      <c r="A42" s="70"/>
      <c r="B42" s="71"/>
      <c r="C42" s="72"/>
      <c r="D42" s="73" t="s">
        <v>38</v>
      </c>
      <c r="E42" s="127"/>
      <c r="F42" s="127"/>
      <c r="G42" s="127"/>
      <c r="H42" s="128"/>
      <c r="Q42" s="2"/>
      <c r="R42" s="2"/>
      <c r="S42" s="2"/>
      <c r="T42" s="2"/>
    </row>
    <row r="43" spans="1:20" ht="18.75">
      <c r="A43" s="41"/>
      <c r="B43" s="74"/>
      <c r="C43" s="74"/>
      <c r="D43" s="75" t="s">
        <v>39</v>
      </c>
      <c r="E43" s="129"/>
      <c r="F43" s="129"/>
      <c r="G43" s="129"/>
      <c r="H43" s="128"/>
      <c r="Q43" s="2"/>
      <c r="R43" s="2"/>
      <c r="S43" s="2"/>
      <c r="T43" s="2"/>
    </row>
    <row r="44" spans="1:20" ht="18.75">
      <c r="A44" s="41"/>
      <c r="B44" s="74"/>
      <c r="C44" s="74"/>
      <c r="D44" s="76" t="s">
        <v>40</v>
      </c>
      <c r="E44" s="130"/>
      <c r="F44" s="130"/>
      <c r="G44" s="130"/>
      <c r="H44" s="128"/>
      <c r="Q44" s="2"/>
      <c r="R44" s="2"/>
      <c r="S44" s="2"/>
      <c r="T44" s="2"/>
    </row>
    <row r="45" spans="1:20" ht="18.75">
      <c r="A45" s="41"/>
      <c r="B45" s="74"/>
      <c r="C45" s="74"/>
      <c r="D45" s="75" t="s">
        <v>41</v>
      </c>
      <c r="E45" s="129"/>
      <c r="F45" s="129"/>
      <c r="G45" s="129"/>
      <c r="H45" s="128"/>
      <c r="Q45" s="2"/>
      <c r="R45" s="2"/>
      <c r="S45" s="2"/>
      <c r="T45" s="2"/>
    </row>
    <row r="46" spans="1:20" ht="15">
      <c r="A46" s="41"/>
      <c r="B46" s="74"/>
      <c r="C46" s="77"/>
      <c r="D46" s="78"/>
      <c r="E46" s="74"/>
      <c r="F46" s="74"/>
      <c r="G46" s="131"/>
      <c r="H46" s="128"/>
      <c r="Q46" s="2"/>
      <c r="R46" s="2"/>
      <c r="S46" s="2"/>
      <c r="T46" s="2"/>
    </row>
    <row r="47" spans="1:20" ht="15">
      <c r="A47" s="41"/>
      <c r="B47" s="74"/>
      <c r="C47" s="79"/>
      <c r="D47" s="80"/>
      <c r="E47" s="74"/>
      <c r="F47" s="74"/>
      <c r="G47" s="131"/>
      <c r="H47" s="128"/>
      <c r="Q47" s="2"/>
      <c r="R47" s="2"/>
      <c r="S47" s="2"/>
      <c r="T47" s="2"/>
    </row>
    <row r="48" spans="1:20" ht="15">
      <c r="A48" s="41"/>
      <c r="B48" s="74"/>
      <c r="C48" s="79"/>
      <c r="D48" s="80"/>
      <c r="E48" s="74"/>
      <c r="F48" s="74"/>
      <c r="G48" s="131"/>
      <c r="H48" s="128"/>
      <c r="Q48" s="2"/>
      <c r="R48" s="2"/>
      <c r="S48" s="2"/>
      <c r="T48" s="2"/>
    </row>
    <row r="49" spans="1:20" ht="15">
      <c r="A49" s="41"/>
      <c r="B49" s="74"/>
      <c r="C49" s="79"/>
      <c r="D49" s="80"/>
      <c r="E49" s="74"/>
      <c r="F49" s="74"/>
      <c r="G49" s="131"/>
      <c r="H49" s="128"/>
      <c r="Q49" s="2"/>
      <c r="R49" s="2"/>
      <c r="S49" s="2"/>
      <c r="T49" s="2"/>
    </row>
    <row r="50" spans="1:20" ht="15">
      <c r="A50" s="41"/>
      <c r="B50" s="74"/>
      <c r="C50" s="79"/>
      <c r="D50" s="80"/>
      <c r="E50" s="74"/>
      <c r="F50" s="74"/>
      <c r="G50" s="131"/>
      <c r="H50" s="128"/>
      <c r="Q50" s="2"/>
      <c r="R50" s="2"/>
      <c r="S50" s="2"/>
      <c r="T50" s="2"/>
    </row>
    <row r="51" spans="1:20" ht="15">
      <c r="A51" s="41"/>
      <c r="B51" s="74"/>
      <c r="C51" s="79"/>
      <c r="D51" s="80"/>
      <c r="E51" s="74"/>
      <c r="F51" s="74"/>
      <c r="G51" s="131"/>
      <c r="H51" s="128"/>
      <c r="Q51" s="2"/>
      <c r="R51" s="2"/>
      <c r="S51" s="2"/>
      <c r="T51" s="2"/>
    </row>
    <row r="52" spans="1:20" ht="15">
      <c r="A52" s="81"/>
      <c r="B52" s="57"/>
      <c r="C52" s="57"/>
      <c r="D52" s="80"/>
      <c r="E52" s="74"/>
      <c r="F52" s="74"/>
      <c r="G52" s="131"/>
      <c r="H52" s="128"/>
      <c r="Q52" s="2"/>
      <c r="R52" s="2"/>
      <c r="S52" s="2"/>
      <c r="T52" s="2"/>
    </row>
    <row r="53" spans="1:20" ht="15">
      <c r="A53" s="82" t="s">
        <v>42</v>
      </c>
      <c r="B53" s="74"/>
      <c r="C53" s="79"/>
      <c r="D53" s="80"/>
      <c r="E53" s="74"/>
      <c r="F53" s="74"/>
      <c r="G53" s="131"/>
      <c r="H53" s="128"/>
      <c r="Q53" s="2"/>
      <c r="R53" s="2"/>
      <c r="S53" s="2"/>
      <c r="T53" s="2"/>
    </row>
    <row r="54" spans="1:20">
      <c r="A54" s="83"/>
      <c r="B54" s="84"/>
      <c r="C54" s="85"/>
      <c r="D54" s="86"/>
      <c r="E54" s="132"/>
      <c r="F54" s="133"/>
      <c r="G54" s="134"/>
      <c r="H54" s="135"/>
      <c r="Q54" s="2"/>
      <c r="R54" s="2"/>
      <c r="S54" s="2"/>
      <c r="T54" s="2"/>
    </row>
    <row r="55" spans="1:20">
      <c r="O55" s="4"/>
      <c r="P55" s="5"/>
      <c r="Q55" s="6"/>
      <c r="R55" s="7"/>
      <c r="S55" s="2"/>
      <c r="T55" s="2"/>
    </row>
    <row r="56" spans="1:20">
      <c r="O56" s="4"/>
      <c r="P56" s="5"/>
      <c r="Q56" s="6"/>
      <c r="R56" s="7"/>
      <c r="S56" s="2"/>
      <c r="T56" s="2"/>
    </row>
  </sheetData>
  <mergeCells count="18">
    <mergeCell ref="A39:B39"/>
    <mergeCell ref="C39:D39"/>
    <mergeCell ref="E39:F39"/>
    <mergeCell ref="G39:H39"/>
    <mergeCell ref="A7:A9"/>
    <mergeCell ref="A10:A11"/>
    <mergeCell ref="B7:B8"/>
    <mergeCell ref="C7:C8"/>
    <mergeCell ref="D7:D9"/>
    <mergeCell ref="E7:E8"/>
    <mergeCell ref="F7:F8"/>
    <mergeCell ref="G7:G8"/>
    <mergeCell ref="B20:C21"/>
    <mergeCell ref="B18:C19"/>
    <mergeCell ref="B22:C23"/>
    <mergeCell ref="A1:C1"/>
    <mergeCell ref="A29:H29"/>
    <mergeCell ref="A30:H30"/>
  </mergeCells>
  <printOptions horizontalCentered="1" verticalCentered="1"/>
  <pageMargins left="0.3" right="0.3" top="0.3" bottom="0.3" header="0" footer="0"/>
  <pageSetup paperSize="9" scale="36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Confirmed PO</vt:lpstr>
      <vt:lpstr>'Confirmed PO'!Print_Area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maria.angelina</dc:creator>
  <cp:lastModifiedBy>Julius Evan</cp:lastModifiedBy>
  <cp:lastPrinted>2020-09-25T19:29:00Z</cp:lastPrinted>
  <dcterms:created xsi:type="dcterms:W3CDTF">2015-03-30T17:01:00Z</dcterms:created>
  <dcterms:modified xsi:type="dcterms:W3CDTF">2026-09-15T02:28:08Z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1033-6.13.1.8710</vt:lpwstr>
  </property>
  <property fmtid="{D5CDD505-2E9C-101B-9397-08002B2CF9AE}" pid="3" name="ICV">
    <vt:lpwstr>2544899608C248E0BFC12F26A9EA5246_13</vt:lpwstr>
  </property>
  <property fmtid="{D5CDD505-2E9C-101B-9397-08002B2CF9AE}" pid="4" name="CalculationRule">
    <vt:i4>0</vt:i4>
  </property>
</Properties>
</file>