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EVERBEST\NEW_GENERATOR\webapp\outputs\80d52d37d702\PO\"/>
    </mc:Choice>
  </mc:AlternateContent>
  <xr:revisionPtr revIDLastSave="0" documentId="8_{13D17261-0C0E-4148-A03C-A8BF90856CE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FIRMED PO" sheetId="1" r:id="rId1"/>
    <sheet name="PACKING LIST" sheetId="2" r:id="rId2"/>
  </sheets>
  <definedNames>
    <definedName name="_xlnm.Print_Area" localSheetId="0">'CONFIRMED PO'!$A$1:$AB$55</definedName>
    <definedName name="_xlnm.Print_Area" localSheetId="1">'PACKING LIST'!$A$1:$X$64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27" i="2" l="1"/>
  <c r="T127" i="2"/>
  <c r="S127" i="2"/>
  <c r="R127" i="2"/>
  <c r="Q127" i="2"/>
  <c r="P127" i="2"/>
  <c r="O127" i="2"/>
  <c r="H127" i="2"/>
  <c r="G127" i="2"/>
  <c r="F127" i="2"/>
  <c r="E127" i="2"/>
  <c r="D127" i="2"/>
  <c r="C127" i="2"/>
  <c r="B127" i="2"/>
  <c r="Y126" i="2"/>
  <c r="X126" i="2"/>
  <c r="V126" i="2"/>
  <c r="U126" i="2"/>
  <c r="T126" i="2"/>
  <c r="S126" i="2"/>
  <c r="R126" i="2"/>
  <c r="Q126" i="2"/>
  <c r="P126" i="2"/>
  <c r="O126" i="2"/>
  <c r="L126" i="2"/>
  <c r="K126" i="2"/>
  <c r="I126" i="2"/>
  <c r="H126" i="2"/>
  <c r="G126" i="2"/>
  <c r="F126" i="2"/>
  <c r="E126" i="2"/>
  <c r="D126" i="2"/>
  <c r="C126" i="2"/>
  <c r="B126" i="2"/>
  <c r="V124" i="2"/>
  <c r="U124" i="2"/>
  <c r="T124" i="2"/>
  <c r="S124" i="2"/>
  <c r="R124" i="2"/>
  <c r="Q124" i="2"/>
  <c r="P124" i="2"/>
  <c r="O124" i="2"/>
  <c r="I124" i="2"/>
  <c r="H124" i="2"/>
  <c r="G124" i="2"/>
  <c r="F124" i="2"/>
  <c r="E124" i="2"/>
  <c r="D124" i="2"/>
  <c r="C124" i="2"/>
  <c r="B124" i="2"/>
  <c r="Y123" i="2"/>
  <c r="V123" i="2"/>
  <c r="L123" i="2"/>
  <c r="I123" i="2"/>
  <c r="V121" i="2"/>
  <c r="U121" i="2"/>
  <c r="T121" i="2"/>
  <c r="S121" i="2"/>
  <c r="R121" i="2"/>
  <c r="Q121" i="2"/>
  <c r="P121" i="2"/>
  <c r="O121" i="2"/>
  <c r="I121" i="2"/>
  <c r="H121" i="2"/>
  <c r="G121" i="2"/>
  <c r="F121" i="2"/>
  <c r="E121" i="2"/>
  <c r="D121" i="2"/>
  <c r="C121" i="2"/>
  <c r="B121" i="2"/>
  <c r="Y120" i="2"/>
  <c r="V120" i="2"/>
  <c r="L120" i="2"/>
  <c r="I120" i="2"/>
  <c r="V118" i="2"/>
  <c r="U118" i="2"/>
  <c r="T118" i="2"/>
  <c r="S118" i="2"/>
  <c r="R118" i="2"/>
  <c r="Q118" i="2"/>
  <c r="P118" i="2"/>
  <c r="O118" i="2"/>
  <c r="I118" i="2"/>
  <c r="H118" i="2"/>
  <c r="G118" i="2"/>
  <c r="F118" i="2"/>
  <c r="E118" i="2"/>
  <c r="D118" i="2"/>
  <c r="C118" i="2"/>
  <c r="B118" i="2"/>
  <c r="Y117" i="2"/>
  <c r="V117" i="2"/>
  <c r="L117" i="2"/>
  <c r="I117" i="2"/>
  <c r="V115" i="2"/>
  <c r="U115" i="2"/>
  <c r="T115" i="2"/>
  <c r="S115" i="2"/>
  <c r="R115" i="2"/>
  <c r="Q115" i="2"/>
  <c r="P115" i="2"/>
  <c r="O115" i="2"/>
  <c r="I115" i="2"/>
  <c r="H115" i="2"/>
  <c r="G115" i="2"/>
  <c r="F115" i="2"/>
  <c r="E115" i="2"/>
  <c r="D115" i="2"/>
  <c r="C115" i="2"/>
  <c r="B115" i="2"/>
  <c r="Y114" i="2"/>
  <c r="V114" i="2"/>
  <c r="L114" i="2"/>
  <c r="I114" i="2"/>
  <c r="V112" i="2"/>
  <c r="U112" i="2"/>
  <c r="T112" i="2"/>
  <c r="S112" i="2"/>
  <c r="R112" i="2"/>
  <c r="Q112" i="2"/>
  <c r="P112" i="2"/>
  <c r="O112" i="2"/>
  <c r="I112" i="2"/>
  <c r="H112" i="2"/>
  <c r="G112" i="2"/>
  <c r="F112" i="2"/>
  <c r="E112" i="2"/>
  <c r="D112" i="2"/>
  <c r="C112" i="2"/>
  <c r="B112" i="2"/>
  <c r="Y111" i="2"/>
  <c r="V111" i="2"/>
  <c r="L111" i="2"/>
  <c r="I111" i="2"/>
  <c r="V109" i="2"/>
  <c r="U109" i="2"/>
  <c r="T109" i="2"/>
  <c r="S109" i="2"/>
  <c r="R109" i="2"/>
  <c r="Q109" i="2"/>
  <c r="P109" i="2"/>
  <c r="O109" i="2"/>
  <c r="I109" i="2"/>
  <c r="H109" i="2"/>
  <c r="G109" i="2"/>
  <c r="F109" i="2"/>
  <c r="E109" i="2"/>
  <c r="D109" i="2"/>
  <c r="C109" i="2"/>
  <c r="B109" i="2"/>
  <c r="Y108" i="2"/>
  <c r="V108" i="2"/>
  <c r="L108" i="2"/>
  <c r="I108" i="2"/>
  <c r="V106" i="2"/>
  <c r="U106" i="2"/>
  <c r="T106" i="2"/>
  <c r="S106" i="2"/>
  <c r="R106" i="2"/>
  <c r="Q106" i="2"/>
  <c r="P106" i="2"/>
  <c r="O106" i="2"/>
  <c r="I106" i="2"/>
  <c r="H106" i="2"/>
  <c r="G106" i="2"/>
  <c r="F106" i="2"/>
  <c r="E106" i="2"/>
  <c r="D106" i="2"/>
  <c r="C106" i="2"/>
  <c r="B106" i="2"/>
  <c r="Y105" i="2"/>
  <c r="V105" i="2"/>
  <c r="L105" i="2"/>
  <c r="I105" i="2"/>
  <c r="V103" i="2"/>
  <c r="U103" i="2"/>
  <c r="T103" i="2"/>
  <c r="S103" i="2"/>
  <c r="R103" i="2"/>
  <c r="Q103" i="2"/>
  <c r="P103" i="2"/>
  <c r="O103" i="2"/>
  <c r="I103" i="2"/>
  <c r="H103" i="2"/>
  <c r="G103" i="2"/>
  <c r="F103" i="2"/>
  <c r="E103" i="2"/>
  <c r="D103" i="2"/>
  <c r="C103" i="2"/>
  <c r="B103" i="2"/>
  <c r="Y102" i="2"/>
  <c r="V102" i="2"/>
  <c r="L102" i="2"/>
  <c r="I102" i="2"/>
  <c r="V100" i="2"/>
  <c r="U100" i="2"/>
  <c r="T100" i="2"/>
  <c r="S100" i="2"/>
  <c r="R100" i="2"/>
  <c r="Q100" i="2"/>
  <c r="P100" i="2"/>
  <c r="O100" i="2"/>
  <c r="I100" i="2"/>
  <c r="H100" i="2"/>
  <c r="G100" i="2"/>
  <c r="F100" i="2"/>
  <c r="E100" i="2"/>
  <c r="D100" i="2"/>
  <c r="C100" i="2"/>
  <c r="B100" i="2"/>
  <c r="Y99" i="2"/>
  <c r="V99" i="2"/>
  <c r="L99" i="2"/>
  <c r="I99" i="2"/>
  <c r="V97" i="2"/>
  <c r="U97" i="2"/>
  <c r="T97" i="2"/>
  <c r="S97" i="2"/>
  <c r="R97" i="2"/>
  <c r="Q97" i="2"/>
  <c r="P97" i="2"/>
  <c r="O97" i="2"/>
  <c r="I97" i="2"/>
  <c r="H97" i="2"/>
  <c r="G97" i="2"/>
  <c r="F97" i="2"/>
  <c r="E97" i="2"/>
  <c r="D97" i="2"/>
  <c r="C97" i="2"/>
  <c r="B97" i="2"/>
  <c r="Y96" i="2"/>
  <c r="V96" i="2"/>
  <c r="L96" i="2"/>
  <c r="I96" i="2"/>
  <c r="V94" i="2"/>
  <c r="U94" i="2"/>
  <c r="T94" i="2"/>
  <c r="S94" i="2"/>
  <c r="R94" i="2"/>
  <c r="Q94" i="2"/>
  <c r="P94" i="2"/>
  <c r="O94" i="2"/>
  <c r="I94" i="2"/>
  <c r="H94" i="2"/>
  <c r="G94" i="2"/>
  <c r="F94" i="2"/>
  <c r="E94" i="2"/>
  <c r="D94" i="2"/>
  <c r="C94" i="2"/>
  <c r="B94" i="2"/>
  <c r="Y93" i="2"/>
  <c r="V93" i="2"/>
  <c r="L93" i="2"/>
  <c r="I93" i="2"/>
  <c r="V91" i="2"/>
  <c r="U91" i="2"/>
  <c r="T91" i="2"/>
  <c r="S91" i="2"/>
  <c r="R91" i="2"/>
  <c r="Q91" i="2"/>
  <c r="P91" i="2"/>
  <c r="O91" i="2"/>
  <c r="I91" i="2"/>
  <c r="H91" i="2"/>
  <c r="G91" i="2"/>
  <c r="F91" i="2"/>
  <c r="E91" i="2"/>
  <c r="D91" i="2"/>
  <c r="C91" i="2"/>
  <c r="B91" i="2"/>
  <c r="Y90" i="2"/>
  <c r="V90" i="2"/>
  <c r="L90" i="2"/>
  <c r="I90" i="2"/>
  <c r="V88" i="2"/>
  <c r="U88" i="2"/>
  <c r="T88" i="2"/>
  <c r="S88" i="2"/>
  <c r="R88" i="2"/>
  <c r="Q88" i="2"/>
  <c r="P88" i="2"/>
  <c r="O88" i="2"/>
  <c r="I88" i="2"/>
  <c r="H88" i="2"/>
  <c r="G88" i="2"/>
  <c r="F88" i="2"/>
  <c r="E88" i="2"/>
  <c r="D88" i="2"/>
  <c r="C88" i="2"/>
  <c r="B88" i="2"/>
  <c r="Y87" i="2"/>
  <c r="V87" i="2"/>
  <c r="L87" i="2"/>
  <c r="I87" i="2"/>
  <c r="V85" i="2"/>
  <c r="U85" i="2"/>
  <c r="T85" i="2"/>
  <c r="S85" i="2"/>
  <c r="R85" i="2"/>
  <c r="Q85" i="2"/>
  <c r="P85" i="2"/>
  <c r="O85" i="2"/>
  <c r="I85" i="2"/>
  <c r="H85" i="2"/>
  <c r="G85" i="2"/>
  <c r="F85" i="2"/>
  <c r="E85" i="2"/>
  <c r="D85" i="2"/>
  <c r="C85" i="2"/>
  <c r="B85" i="2"/>
  <c r="Y84" i="2"/>
  <c r="V84" i="2"/>
  <c r="L84" i="2"/>
  <c r="I84" i="2"/>
  <c r="V82" i="2"/>
  <c r="U82" i="2"/>
  <c r="T82" i="2"/>
  <c r="S82" i="2"/>
  <c r="R82" i="2"/>
  <c r="Q82" i="2"/>
  <c r="P82" i="2"/>
  <c r="O82" i="2"/>
  <c r="I82" i="2"/>
  <c r="H82" i="2"/>
  <c r="G82" i="2"/>
  <c r="F82" i="2"/>
  <c r="E82" i="2"/>
  <c r="D82" i="2"/>
  <c r="C82" i="2"/>
  <c r="B82" i="2"/>
  <c r="Y81" i="2"/>
  <c r="V81" i="2"/>
  <c r="L81" i="2"/>
  <c r="I81" i="2"/>
  <c r="V79" i="2"/>
  <c r="U79" i="2"/>
  <c r="T79" i="2"/>
  <c r="S79" i="2"/>
  <c r="R79" i="2"/>
  <c r="Q79" i="2"/>
  <c r="P79" i="2"/>
  <c r="O79" i="2"/>
  <c r="I79" i="2"/>
  <c r="H79" i="2"/>
  <c r="G79" i="2"/>
  <c r="F79" i="2"/>
  <c r="E79" i="2"/>
  <c r="D79" i="2"/>
  <c r="C79" i="2"/>
  <c r="B79" i="2"/>
  <c r="Y78" i="2"/>
  <c r="V78" i="2"/>
  <c r="L78" i="2"/>
  <c r="I78" i="2"/>
  <c r="V76" i="2"/>
  <c r="U76" i="2"/>
  <c r="T76" i="2"/>
  <c r="S76" i="2"/>
  <c r="R76" i="2"/>
  <c r="Q76" i="2"/>
  <c r="P76" i="2"/>
  <c r="O76" i="2"/>
  <c r="I76" i="2"/>
  <c r="H76" i="2"/>
  <c r="G76" i="2"/>
  <c r="F76" i="2"/>
  <c r="E76" i="2"/>
  <c r="D76" i="2"/>
  <c r="C76" i="2"/>
  <c r="B76" i="2"/>
  <c r="Y75" i="2"/>
  <c r="V75" i="2"/>
  <c r="L75" i="2"/>
  <c r="I75" i="2"/>
  <c r="V73" i="2"/>
  <c r="U73" i="2"/>
  <c r="T73" i="2"/>
  <c r="S73" i="2"/>
  <c r="R73" i="2"/>
  <c r="Q73" i="2"/>
  <c r="P73" i="2"/>
  <c r="O73" i="2"/>
  <c r="I73" i="2"/>
  <c r="H73" i="2"/>
  <c r="G73" i="2"/>
  <c r="F73" i="2"/>
  <c r="E73" i="2"/>
  <c r="D73" i="2"/>
  <c r="C73" i="2"/>
  <c r="B73" i="2"/>
  <c r="Y72" i="2"/>
  <c r="V72" i="2"/>
  <c r="L72" i="2"/>
  <c r="I72" i="2"/>
  <c r="V70" i="2"/>
  <c r="U70" i="2"/>
  <c r="T70" i="2"/>
  <c r="S70" i="2"/>
  <c r="R70" i="2"/>
  <c r="Q70" i="2"/>
  <c r="P70" i="2"/>
  <c r="O70" i="2"/>
  <c r="I70" i="2"/>
  <c r="H70" i="2"/>
  <c r="G70" i="2"/>
  <c r="F70" i="2"/>
  <c r="E70" i="2"/>
  <c r="D70" i="2"/>
  <c r="C70" i="2"/>
  <c r="B70" i="2"/>
  <c r="Y69" i="2"/>
  <c r="V69" i="2"/>
  <c r="L69" i="2"/>
  <c r="I69" i="2"/>
  <c r="U68" i="2"/>
  <c r="T68" i="2"/>
  <c r="S68" i="2"/>
  <c r="R68" i="2"/>
  <c r="Q68" i="2"/>
  <c r="P68" i="2"/>
  <c r="O68" i="2"/>
  <c r="N68" i="2"/>
  <c r="H68" i="2"/>
  <c r="G68" i="2"/>
  <c r="F68" i="2"/>
  <c r="E68" i="2"/>
  <c r="D68" i="2"/>
  <c r="C68" i="2"/>
  <c r="B68" i="2"/>
  <c r="A68" i="2"/>
  <c r="U63" i="2"/>
  <c r="T63" i="2"/>
  <c r="S63" i="2"/>
  <c r="R63" i="2"/>
  <c r="Q63" i="2"/>
  <c r="P63" i="2"/>
  <c r="O63" i="2"/>
  <c r="H63" i="2"/>
  <c r="G63" i="2"/>
  <c r="F63" i="2"/>
  <c r="E63" i="2"/>
  <c r="D63" i="2"/>
  <c r="C63" i="2"/>
  <c r="B63" i="2"/>
  <c r="Y62" i="2"/>
  <c r="X62" i="2"/>
  <c r="V62" i="2"/>
  <c r="U62" i="2"/>
  <c r="T62" i="2"/>
  <c r="S62" i="2"/>
  <c r="R62" i="2"/>
  <c r="Q62" i="2"/>
  <c r="P62" i="2"/>
  <c r="O62" i="2"/>
  <c r="L62" i="2"/>
  <c r="K62" i="2"/>
  <c r="I62" i="2"/>
  <c r="H62" i="2"/>
  <c r="G62" i="2"/>
  <c r="F62" i="2"/>
  <c r="E62" i="2"/>
  <c r="D62" i="2"/>
  <c r="C62" i="2"/>
  <c r="B62" i="2"/>
  <c r="V60" i="2"/>
  <c r="U60" i="2"/>
  <c r="T60" i="2"/>
  <c r="S60" i="2"/>
  <c r="R60" i="2"/>
  <c r="Q60" i="2"/>
  <c r="P60" i="2"/>
  <c r="O60" i="2"/>
  <c r="I60" i="2"/>
  <c r="H60" i="2"/>
  <c r="G60" i="2"/>
  <c r="F60" i="2"/>
  <c r="E60" i="2"/>
  <c r="D60" i="2"/>
  <c r="C60" i="2"/>
  <c r="B60" i="2"/>
  <c r="Y59" i="2"/>
  <c r="V59" i="2"/>
  <c r="L59" i="2"/>
  <c r="I59" i="2"/>
  <c r="V57" i="2"/>
  <c r="U57" i="2"/>
  <c r="T57" i="2"/>
  <c r="S57" i="2"/>
  <c r="R57" i="2"/>
  <c r="Q57" i="2"/>
  <c r="P57" i="2"/>
  <c r="O57" i="2"/>
  <c r="I57" i="2"/>
  <c r="H57" i="2"/>
  <c r="G57" i="2"/>
  <c r="F57" i="2"/>
  <c r="E57" i="2"/>
  <c r="D57" i="2"/>
  <c r="C57" i="2"/>
  <c r="B57" i="2"/>
  <c r="Y56" i="2"/>
  <c r="V56" i="2"/>
  <c r="L56" i="2"/>
  <c r="I56" i="2"/>
  <c r="V54" i="2"/>
  <c r="U54" i="2"/>
  <c r="T54" i="2"/>
  <c r="S54" i="2"/>
  <c r="R54" i="2"/>
  <c r="Q54" i="2"/>
  <c r="P54" i="2"/>
  <c r="O54" i="2"/>
  <c r="I54" i="2"/>
  <c r="H54" i="2"/>
  <c r="G54" i="2"/>
  <c r="F54" i="2"/>
  <c r="E54" i="2"/>
  <c r="D54" i="2"/>
  <c r="C54" i="2"/>
  <c r="B54" i="2"/>
  <c r="Y53" i="2"/>
  <c r="V53" i="2"/>
  <c r="L53" i="2"/>
  <c r="I53" i="2"/>
  <c r="V51" i="2"/>
  <c r="U51" i="2"/>
  <c r="T51" i="2"/>
  <c r="S51" i="2"/>
  <c r="R51" i="2"/>
  <c r="Q51" i="2"/>
  <c r="P51" i="2"/>
  <c r="O51" i="2"/>
  <c r="I51" i="2"/>
  <c r="H51" i="2"/>
  <c r="G51" i="2"/>
  <c r="F51" i="2"/>
  <c r="E51" i="2"/>
  <c r="D51" i="2"/>
  <c r="C51" i="2"/>
  <c r="B51" i="2"/>
  <c r="Y50" i="2"/>
  <c r="V50" i="2"/>
  <c r="L50" i="2"/>
  <c r="I50" i="2"/>
  <c r="V48" i="2"/>
  <c r="U48" i="2"/>
  <c r="T48" i="2"/>
  <c r="S48" i="2"/>
  <c r="R48" i="2"/>
  <c r="Q48" i="2"/>
  <c r="P48" i="2"/>
  <c r="O48" i="2"/>
  <c r="I48" i="2"/>
  <c r="H48" i="2"/>
  <c r="G48" i="2"/>
  <c r="F48" i="2"/>
  <c r="E48" i="2"/>
  <c r="D48" i="2"/>
  <c r="C48" i="2"/>
  <c r="B48" i="2"/>
  <c r="Y47" i="2"/>
  <c r="V47" i="2"/>
  <c r="L47" i="2"/>
  <c r="I47" i="2"/>
  <c r="V45" i="2"/>
  <c r="U45" i="2"/>
  <c r="T45" i="2"/>
  <c r="S45" i="2"/>
  <c r="R45" i="2"/>
  <c r="Q45" i="2"/>
  <c r="P45" i="2"/>
  <c r="O45" i="2"/>
  <c r="I45" i="2"/>
  <c r="H45" i="2"/>
  <c r="G45" i="2"/>
  <c r="F45" i="2"/>
  <c r="E45" i="2"/>
  <c r="D45" i="2"/>
  <c r="C45" i="2"/>
  <c r="B45" i="2"/>
  <c r="Y44" i="2"/>
  <c r="V44" i="2"/>
  <c r="L44" i="2"/>
  <c r="I44" i="2"/>
  <c r="V42" i="2"/>
  <c r="U42" i="2"/>
  <c r="T42" i="2"/>
  <c r="S42" i="2"/>
  <c r="R42" i="2"/>
  <c r="Q42" i="2"/>
  <c r="P42" i="2"/>
  <c r="O42" i="2"/>
  <c r="I42" i="2"/>
  <c r="H42" i="2"/>
  <c r="G42" i="2"/>
  <c r="F42" i="2"/>
  <c r="E42" i="2"/>
  <c r="D42" i="2"/>
  <c r="C42" i="2"/>
  <c r="B42" i="2"/>
  <c r="Y41" i="2"/>
  <c r="V41" i="2"/>
  <c r="L41" i="2"/>
  <c r="I41" i="2"/>
  <c r="V39" i="2"/>
  <c r="U39" i="2"/>
  <c r="T39" i="2"/>
  <c r="S39" i="2"/>
  <c r="R39" i="2"/>
  <c r="Q39" i="2"/>
  <c r="P39" i="2"/>
  <c r="O39" i="2"/>
  <c r="I39" i="2"/>
  <c r="H39" i="2"/>
  <c r="G39" i="2"/>
  <c r="F39" i="2"/>
  <c r="E39" i="2"/>
  <c r="D39" i="2"/>
  <c r="C39" i="2"/>
  <c r="B39" i="2"/>
  <c r="Y38" i="2"/>
  <c r="V38" i="2"/>
  <c r="L38" i="2"/>
  <c r="I38" i="2"/>
  <c r="V36" i="2"/>
  <c r="U36" i="2"/>
  <c r="T36" i="2"/>
  <c r="S36" i="2"/>
  <c r="R36" i="2"/>
  <c r="Q36" i="2"/>
  <c r="P36" i="2"/>
  <c r="O36" i="2"/>
  <c r="I36" i="2"/>
  <c r="H36" i="2"/>
  <c r="G36" i="2"/>
  <c r="F36" i="2"/>
  <c r="E36" i="2"/>
  <c r="D36" i="2"/>
  <c r="C36" i="2"/>
  <c r="B36" i="2"/>
  <c r="Y35" i="2"/>
  <c r="V35" i="2"/>
  <c r="L35" i="2"/>
  <c r="I35" i="2"/>
  <c r="V33" i="2"/>
  <c r="U33" i="2"/>
  <c r="T33" i="2"/>
  <c r="S33" i="2"/>
  <c r="R33" i="2"/>
  <c r="Q33" i="2"/>
  <c r="P33" i="2"/>
  <c r="O33" i="2"/>
  <c r="I33" i="2"/>
  <c r="H33" i="2"/>
  <c r="G33" i="2"/>
  <c r="F33" i="2"/>
  <c r="E33" i="2"/>
  <c r="D33" i="2"/>
  <c r="C33" i="2"/>
  <c r="B33" i="2"/>
  <c r="Y32" i="2"/>
  <c r="V32" i="2"/>
  <c r="L32" i="2"/>
  <c r="I32" i="2"/>
  <c r="V30" i="2"/>
  <c r="U30" i="2"/>
  <c r="T30" i="2"/>
  <c r="S30" i="2"/>
  <c r="R30" i="2"/>
  <c r="Q30" i="2"/>
  <c r="P30" i="2"/>
  <c r="O30" i="2"/>
  <c r="I30" i="2"/>
  <c r="H30" i="2"/>
  <c r="G30" i="2"/>
  <c r="F30" i="2"/>
  <c r="E30" i="2"/>
  <c r="D30" i="2"/>
  <c r="C30" i="2"/>
  <c r="B30" i="2"/>
  <c r="Y29" i="2"/>
  <c r="V29" i="2"/>
  <c r="L29" i="2"/>
  <c r="I29" i="2"/>
  <c r="V27" i="2"/>
  <c r="U27" i="2"/>
  <c r="T27" i="2"/>
  <c r="S27" i="2"/>
  <c r="R27" i="2"/>
  <c r="Q27" i="2"/>
  <c r="P27" i="2"/>
  <c r="O27" i="2"/>
  <c r="I27" i="2"/>
  <c r="H27" i="2"/>
  <c r="G27" i="2"/>
  <c r="F27" i="2"/>
  <c r="E27" i="2"/>
  <c r="D27" i="2"/>
  <c r="C27" i="2"/>
  <c r="B27" i="2"/>
  <c r="Y26" i="2"/>
  <c r="V26" i="2"/>
  <c r="L26" i="2"/>
  <c r="I26" i="2"/>
  <c r="V24" i="2"/>
  <c r="U24" i="2"/>
  <c r="T24" i="2"/>
  <c r="S24" i="2"/>
  <c r="R24" i="2"/>
  <c r="Q24" i="2"/>
  <c r="P24" i="2"/>
  <c r="O24" i="2"/>
  <c r="I24" i="2"/>
  <c r="H24" i="2"/>
  <c r="G24" i="2"/>
  <c r="F24" i="2"/>
  <c r="E24" i="2"/>
  <c r="D24" i="2"/>
  <c r="C24" i="2"/>
  <c r="B24" i="2"/>
  <c r="Y23" i="2"/>
  <c r="V23" i="2"/>
  <c r="L23" i="2"/>
  <c r="I23" i="2"/>
  <c r="V21" i="2"/>
  <c r="U21" i="2"/>
  <c r="T21" i="2"/>
  <c r="S21" i="2"/>
  <c r="R21" i="2"/>
  <c r="Q21" i="2"/>
  <c r="P21" i="2"/>
  <c r="O21" i="2"/>
  <c r="I21" i="2"/>
  <c r="H21" i="2"/>
  <c r="G21" i="2"/>
  <c r="F21" i="2"/>
  <c r="E21" i="2"/>
  <c r="D21" i="2"/>
  <c r="C21" i="2"/>
  <c r="B21" i="2"/>
  <c r="Y20" i="2"/>
  <c r="V20" i="2"/>
  <c r="L20" i="2"/>
  <c r="I20" i="2"/>
  <c r="V18" i="2"/>
  <c r="U18" i="2"/>
  <c r="T18" i="2"/>
  <c r="S18" i="2"/>
  <c r="R18" i="2"/>
  <c r="Q18" i="2"/>
  <c r="P18" i="2"/>
  <c r="O18" i="2"/>
  <c r="I18" i="2"/>
  <c r="H18" i="2"/>
  <c r="G18" i="2"/>
  <c r="F18" i="2"/>
  <c r="E18" i="2"/>
  <c r="D18" i="2"/>
  <c r="C18" i="2"/>
  <c r="B18" i="2"/>
  <c r="Y17" i="2"/>
  <c r="V17" i="2"/>
  <c r="L17" i="2"/>
  <c r="I17" i="2"/>
  <c r="V15" i="2"/>
  <c r="U15" i="2"/>
  <c r="T15" i="2"/>
  <c r="S15" i="2"/>
  <c r="R15" i="2"/>
  <c r="Q15" i="2"/>
  <c r="P15" i="2"/>
  <c r="O15" i="2"/>
  <c r="I15" i="2"/>
  <c r="H15" i="2"/>
  <c r="G15" i="2"/>
  <c r="F15" i="2"/>
  <c r="E15" i="2"/>
  <c r="D15" i="2"/>
  <c r="C15" i="2"/>
  <c r="B15" i="2"/>
  <c r="Y14" i="2"/>
  <c r="V14" i="2"/>
  <c r="L14" i="2"/>
  <c r="I14" i="2"/>
  <c r="V12" i="2"/>
  <c r="U12" i="2"/>
  <c r="T12" i="2"/>
  <c r="S12" i="2"/>
  <c r="R12" i="2"/>
  <c r="Q12" i="2"/>
  <c r="P12" i="2"/>
  <c r="O12" i="2"/>
  <c r="I12" i="2"/>
  <c r="H12" i="2"/>
  <c r="G12" i="2"/>
  <c r="F12" i="2"/>
  <c r="E12" i="2"/>
  <c r="D12" i="2"/>
  <c r="C12" i="2"/>
  <c r="B12" i="2"/>
  <c r="Y11" i="2"/>
  <c r="V11" i="2"/>
  <c r="L11" i="2"/>
  <c r="I11" i="2"/>
  <c r="V9" i="2"/>
  <c r="U9" i="2"/>
  <c r="T9" i="2"/>
  <c r="S9" i="2"/>
  <c r="R9" i="2"/>
  <c r="Q9" i="2"/>
  <c r="P9" i="2"/>
  <c r="O9" i="2"/>
  <c r="I9" i="2"/>
  <c r="H9" i="2"/>
  <c r="G9" i="2"/>
  <c r="F9" i="2"/>
  <c r="E9" i="2"/>
  <c r="D9" i="2"/>
  <c r="C9" i="2"/>
  <c r="B9" i="2"/>
  <c r="Y8" i="2"/>
  <c r="V8" i="2"/>
  <c r="L8" i="2"/>
  <c r="I8" i="2"/>
  <c r="V6" i="2"/>
  <c r="U6" i="2"/>
  <c r="T6" i="2"/>
  <c r="S6" i="2"/>
  <c r="R6" i="2"/>
  <c r="Q6" i="2"/>
  <c r="P6" i="2"/>
  <c r="O6" i="2"/>
  <c r="I6" i="2"/>
  <c r="H6" i="2"/>
  <c r="G6" i="2"/>
  <c r="F6" i="2"/>
  <c r="E6" i="2"/>
  <c r="D6" i="2"/>
  <c r="C6" i="2"/>
  <c r="B6" i="2"/>
  <c r="Y5" i="2"/>
  <c r="V5" i="2"/>
  <c r="L5" i="2"/>
  <c r="I5" i="2"/>
  <c r="U4" i="2"/>
  <c r="T4" i="2"/>
  <c r="S4" i="2"/>
  <c r="R4" i="2"/>
  <c r="Q4" i="2"/>
  <c r="P4" i="2"/>
  <c r="N4" i="2"/>
  <c r="H4" i="2"/>
  <c r="G4" i="2"/>
  <c r="F4" i="2"/>
  <c r="E4" i="2"/>
  <c r="D4" i="2"/>
  <c r="C4" i="2"/>
  <c r="A4" i="2"/>
  <c r="A3" i="2"/>
  <c r="W43" i="1"/>
  <c r="N43" i="1"/>
  <c r="E43" i="1"/>
  <c r="A43" i="1"/>
  <c r="A32" i="1"/>
  <c r="A31" i="1"/>
  <c r="AA27" i="1"/>
  <c r="Z27" i="1"/>
  <c r="Y27" i="1"/>
  <c r="X27" i="1"/>
  <c r="W27" i="1"/>
  <c r="V27" i="1"/>
  <c r="U27" i="1"/>
  <c r="AB26" i="1"/>
  <c r="AA26" i="1"/>
  <c r="Z26" i="1"/>
  <c r="Y26" i="1"/>
  <c r="X26" i="1"/>
  <c r="W26" i="1"/>
  <c r="V26" i="1"/>
  <c r="U26" i="1"/>
  <c r="S26" i="1"/>
  <c r="AB25" i="1"/>
  <c r="AA25" i="1"/>
  <c r="Z25" i="1"/>
  <c r="Y25" i="1"/>
  <c r="X25" i="1"/>
  <c r="W25" i="1"/>
  <c r="V25" i="1"/>
  <c r="U25" i="1"/>
  <c r="S25" i="1"/>
  <c r="AB24" i="1"/>
  <c r="AA24" i="1"/>
  <c r="U24" i="1"/>
  <c r="S24" i="1"/>
  <c r="AB23" i="1"/>
  <c r="AA23" i="1"/>
  <c r="U23" i="1"/>
  <c r="S23" i="1"/>
  <c r="P23" i="1"/>
  <c r="AA22" i="1"/>
  <c r="Z22" i="1"/>
  <c r="Y22" i="1"/>
  <c r="X22" i="1"/>
  <c r="W22" i="1"/>
  <c r="V22" i="1"/>
  <c r="AA18" i="1"/>
  <c r="Z18" i="1"/>
  <c r="Y18" i="1"/>
  <c r="AC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AC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AC12" i="1"/>
  <c r="AC18" i="1" s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AC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AB27" i="1" l="1"/>
  <c r="A67" i="2"/>
  <c r="N67" i="2"/>
  <c r="N3" i="2"/>
</calcChain>
</file>

<file path=xl/sharedStrings.xml><?xml version="1.0" encoding="utf-8"?>
<sst xmlns="http://schemas.openxmlformats.org/spreadsheetml/2006/main" count="401" uniqueCount="144">
  <si>
    <t>PURCHASE ORDER</t>
  </si>
  <si>
    <t>PT. LARA THALIA ABADI</t>
  </si>
  <si>
    <t>PO NO</t>
  </si>
  <si>
    <t>EVB</t>
  </si>
  <si>
    <t>EVERBEST TOWER - CENGKARENG BUSINESS CITY TOWER M</t>
  </si>
  <si>
    <t>NEW ARRIVAL</t>
  </si>
  <si>
    <t>Jl. Atang Sanjaya no. 21 Benda - Tangerang Banten, Indonesia</t>
  </si>
  <si>
    <t>DATE</t>
  </si>
  <si>
    <t>PHONE : 021 - 2252 9090</t>
  </si>
  <si>
    <t>TO</t>
  </si>
  <si>
    <t>: EDE</t>
  </si>
  <si>
    <t>E-MAIL ADDRESS : buyer@everbestgroup.com</t>
  </si>
  <si>
    <t>DESCRIPTION</t>
  </si>
  <si>
    <t>DEVELOP CODE</t>
  </si>
  <si>
    <t>STYLE NAME</t>
  </si>
  <si>
    <t>COLOUR</t>
  </si>
  <si>
    <t>SETS</t>
  </si>
  <si>
    <t>QTY CARTON PER 12</t>
  </si>
  <si>
    <t>QTY CARTON PER 8</t>
  </si>
  <si>
    <t>QTY PAIRS</t>
  </si>
  <si>
    <t>UNIT PRICE</t>
  </si>
  <si>
    <t>AMOUNT</t>
  </si>
  <si>
    <t>12A</t>
  </si>
  <si>
    <t>12B</t>
  </si>
  <si>
    <t>12C</t>
  </si>
  <si>
    <t>12D</t>
  </si>
  <si>
    <t>12E</t>
  </si>
  <si>
    <t>12F</t>
  </si>
  <si>
    <t>12G</t>
  </si>
  <si>
    <t>8H</t>
  </si>
  <si>
    <t>8I</t>
  </si>
  <si>
    <t>8J</t>
  </si>
  <si>
    <t>8K</t>
  </si>
  <si>
    <t>8L</t>
  </si>
  <si>
    <t>6M</t>
  </si>
  <si>
    <t>6N</t>
  </si>
  <si>
    <t>6O</t>
  </si>
  <si>
    <t>6P</t>
  </si>
  <si>
    <t>6Q</t>
  </si>
  <si>
    <t>4R</t>
  </si>
  <si>
    <t>4S</t>
  </si>
  <si>
    <r>
      <rPr>
        <b/>
        <sz val="12"/>
        <rFont val="SimSun"/>
        <charset val="134"/>
      </rPr>
      <t>开发代码</t>
    </r>
  </si>
  <si>
    <r>
      <rPr>
        <b/>
        <sz val="12"/>
        <rFont val="SimSun"/>
        <charset val="134"/>
      </rPr>
      <t>款式名称</t>
    </r>
  </si>
  <si>
    <t>US$</t>
  </si>
  <si>
    <t>Delivery Date</t>
  </si>
  <si>
    <r>
      <rPr>
        <b/>
        <sz val="12"/>
        <rFont val="SimSun"/>
      </rPr>
      <t>交货日期</t>
    </r>
  </si>
  <si>
    <t>LOGO :</t>
  </si>
  <si>
    <t>COLOR</t>
  </si>
  <si>
    <t>SIZES</t>
  </si>
  <si>
    <t>TOTAL QTY</t>
  </si>
  <si>
    <r>
      <rPr>
        <b/>
        <sz val="12"/>
        <rFont val="SimSun"/>
      </rPr>
      <t>商标</t>
    </r>
  </si>
  <si>
    <t>TERM OF PAYMENT:</t>
  </si>
  <si>
    <t>CREDIT</t>
  </si>
  <si>
    <r>
      <rPr>
        <b/>
        <sz val="12"/>
        <rFont val="Trebuchet MS"/>
      </rPr>
      <t xml:space="preserve">CARTON MARK </t>
    </r>
    <r>
      <rPr>
        <b/>
        <sz val="12"/>
        <rFont val="SimSun"/>
      </rPr>
      <t>：</t>
    </r>
  </si>
  <si>
    <r>
      <rPr>
        <b/>
        <sz val="12"/>
        <rFont val="Trebuchet MS"/>
      </rPr>
      <t xml:space="preserve">( </t>
    </r>
    <r>
      <rPr>
        <b/>
        <sz val="12"/>
        <rFont val="SimSun"/>
      </rPr>
      <t>箱标志</t>
    </r>
    <r>
      <rPr>
        <b/>
        <sz val="12"/>
        <rFont val="Trebuchet MS"/>
      </rPr>
      <t xml:space="preserve"> )</t>
    </r>
  </si>
  <si>
    <r>
      <rPr>
        <b/>
        <sz val="12"/>
        <rFont val="Trebuchet MS"/>
      </rPr>
      <t xml:space="preserve">PICTURE ( </t>
    </r>
    <r>
      <rPr>
        <b/>
        <sz val="12"/>
        <rFont val="SimSun"/>
      </rPr>
      <t>图片</t>
    </r>
    <r>
      <rPr>
        <b/>
        <sz val="12"/>
        <rFont val="Trebuchet MS"/>
      </rPr>
      <t xml:space="preserve"> ):     </t>
    </r>
  </si>
  <si>
    <t>Please give us EXTRA TOPLIFT/DIAMOND INSIDE shoesbox, based on the shoes</t>
  </si>
  <si>
    <r>
      <rPr>
        <sz val="14"/>
        <rFont val="SimSun"/>
      </rPr>
      <t>請給我們額外的</t>
    </r>
    <r>
      <rPr>
        <sz val="14"/>
        <rFont val="Trebuchet MS"/>
      </rPr>
      <t xml:space="preserve">TOPLIFT/DIAMOND </t>
    </r>
    <r>
      <rPr>
        <sz val="14"/>
        <rFont val="SimSun"/>
      </rPr>
      <t>在鞋盒</t>
    </r>
    <r>
      <rPr>
        <sz val="14"/>
        <rFont val="Trebuchet MS"/>
      </rPr>
      <t>,</t>
    </r>
    <r>
      <rPr>
        <sz val="14"/>
        <rFont val="SimSun"/>
      </rPr>
      <t>根據鞋子</t>
    </r>
  </si>
  <si>
    <t>SHOE BOX BARCODE :</t>
  </si>
  <si>
    <r>
      <rPr>
        <b/>
        <sz val="13"/>
        <rFont val="Trebuchet MS"/>
      </rPr>
      <t xml:space="preserve">PACKAGING </t>
    </r>
    <r>
      <rPr>
        <b/>
        <sz val="13"/>
        <rFont val="SimSun"/>
      </rPr>
      <t>包装</t>
    </r>
    <r>
      <rPr>
        <b/>
        <sz val="13"/>
        <rFont val="Trebuchet MS"/>
      </rPr>
      <t>:</t>
    </r>
  </si>
  <si>
    <t>LINING</t>
  </si>
  <si>
    <t>SHOE MATERIAL CODE</t>
  </si>
  <si>
    <r>
      <rPr>
        <b/>
        <sz val="12"/>
        <rFont val="Trebuchet MS"/>
      </rPr>
      <t xml:space="preserve">QR CODE </t>
    </r>
    <r>
      <rPr>
        <b/>
        <sz val="12"/>
        <rFont val="SimSun"/>
      </rPr>
      <t>二维码</t>
    </r>
    <r>
      <rPr>
        <b/>
        <sz val="12"/>
        <rFont val="Trebuchet MS"/>
      </rPr>
      <t>:</t>
    </r>
  </si>
  <si>
    <r>
      <rPr>
        <b/>
        <sz val="12"/>
        <rFont val="Trebuchet MS"/>
      </rPr>
      <t>(</t>
    </r>
    <r>
      <rPr>
        <b/>
        <sz val="12"/>
        <rFont val="SimSun"/>
      </rPr>
      <t>请贴这些条码在鞋盒按照图片</t>
    </r>
    <r>
      <rPr>
        <b/>
        <sz val="12"/>
        <rFont val="Trebuchet MS"/>
      </rPr>
      <t>)</t>
    </r>
  </si>
  <si>
    <r>
      <rPr>
        <b/>
        <sz val="12"/>
        <rFont val="SimSun"/>
      </rPr>
      <t>鞋盒</t>
    </r>
    <r>
      <rPr>
        <b/>
        <sz val="12"/>
        <rFont val="Trebuchet MS"/>
      </rPr>
      <t xml:space="preserve"> </t>
    </r>
    <r>
      <rPr>
        <b/>
        <sz val="12"/>
        <rFont val="SimSun"/>
      </rPr>
      <t>和</t>
    </r>
    <r>
      <rPr>
        <b/>
        <sz val="12"/>
        <rFont val="Trebuchet MS"/>
      </rPr>
      <t xml:space="preserve"> </t>
    </r>
    <r>
      <rPr>
        <b/>
        <sz val="12"/>
        <rFont val="SimSun"/>
      </rPr>
      <t>箱子</t>
    </r>
    <r>
      <rPr>
        <b/>
        <sz val="12"/>
        <rFont val="Trebuchet MS"/>
      </rPr>
      <t xml:space="preserve"> </t>
    </r>
    <r>
      <rPr>
        <b/>
        <sz val="12"/>
        <rFont val="SimSun"/>
      </rPr>
      <t>包法</t>
    </r>
  </si>
  <si>
    <r>
      <rPr>
        <b/>
        <sz val="12"/>
        <rFont val="Trebuchet MS"/>
      </rPr>
      <t>(</t>
    </r>
    <r>
      <rPr>
        <b/>
        <sz val="12"/>
        <rFont val="SimSun"/>
      </rPr>
      <t>打印在内里上）</t>
    </r>
  </si>
  <si>
    <r>
      <rPr>
        <sz val="12"/>
        <rFont val="SimSun"/>
      </rPr>
      <t>鞋子材料贴标</t>
    </r>
  </si>
  <si>
    <r>
      <rPr>
        <b/>
        <sz val="14"/>
        <rFont val="Trebuchet MS"/>
      </rPr>
      <t xml:space="preserve">INSOLE </t>
    </r>
    <r>
      <rPr>
        <b/>
        <sz val="14"/>
        <rFont val="SimSun"/>
      </rPr>
      <t>垫脚</t>
    </r>
  </si>
  <si>
    <t xml:space="preserve">PACKING LIST PO </t>
  </si>
  <si>
    <t>colly</t>
  </si>
  <si>
    <t>pairs</t>
  </si>
  <si>
    <t>SET A</t>
  </si>
  <si>
    <t>X</t>
  </si>
  <si>
    <t>A</t>
  </si>
  <si>
    <t>total A</t>
  </si>
  <si>
    <t>SET B</t>
  </si>
  <si>
    <t>B</t>
  </si>
  <si>
    <t>total B</t>
  </si>
  <si>
    <t>SET C</t>
  </si>
  <si>
    <t>C</t>
  </si>
  <si>
    <t>total C</t>
  </si>
  <si>
    <t>SET D</t>
  </si>
  <si>
    <t>D</t>
  </si>
  <si>
    <t>total D</t>
  </si>
  <si>
    <t>SET E</t>
  </si>
  <si>
    <t>E</t>
  </si>
  <si>
    <t>total E</t>
  </si>
  <si>
    <t>SET F</t>
  </si>
  <si>
    <t>F</t>
  </si>
  <si>
    <t>total F</t>
  </si>
  <si>
    <t>SET G</t>
  </si>
  <si>
    <t>G</t>
  </si>
  <si>
    <t>total G</t>
  </si>
  <si>
    <t>SET H</t>
  </si>
  <si>
    <t>H</t>
  </si>
  <si>
    <t>total H</t>
  </si>
  <si>
    <t>SET I</t>
  </si>
  <si>
    <t>I</t>
  </si>
  <si>
    <t>total I</t>
  </si>
  <si>
    <t>SET J</t>
  </si>
  <si>
    <t>J</t>
  </si>
  <si>
    <t>total J</t>
  </si>
  <si>
    <t>SET K</t>
  </si>
  <si>
    <t>K</t>
  </si>
  <si>
    <t>total K</t>
  </si>
  <si>
    <t>SET L</t>
  </si>
  <si>
    <t>L</t>
  </si>
  <si>
    <t>total L</t>
  </si>
  <si>
    <t>SET M</t>
  </si>
  <si>
    <t>M</t>
  </si>
  <si>
    <t>total M</t>
  </si>
  <si>
    <t>SET N</t>
  </si>
  <si>
    <t>N</t>
  </si>
  <si>
    <t>total N</t>
  </si>
  <si>
    <t>SET O</t>
  </si>
  <si>
    <t>O</t>
  </si>
  <si>
    <t>total O</t>
  </si>
  <si>
    <t>SET P</t>
  </si>
  <si>
    <t>P</t>
  </si>
  <si>
    <t>total P</t>
  </si>
  <si>
    <t>SET Q</t>
  </si>
  <si>
    <t>Q</t>
  </si>
  <si>
    <t>total Q</t>
  </si>
  <si>
    <t>SET R</t>
  </si>
  <si>
    <t>R</t>
  </si>
  <si>
    <t>total R</t>
  </si>
  <si>
    <t>SET S</t>
  </si>
  <si>
    <t>S</t>
  </si>
  <si>
    <t>total S</t>
  </si>
  <si>
    <t>total PO qty</t>
  </si>
  <si>
    <t>: 5693</t>
  </si>
  <si>
    <t>: 05 Jun 2026</t>
  </si>
  <si>
    <t>FALL 2026</t>
  </si>
  <si>
    <t>MAKASSAR</t>
  </si>
  <si>
    <t>EVB LADIES SHOES - PUMP</t>
  </si>
  <si>
    <t>VEYLIN</t>
  </si>
  <si>
    <t>262VB071</t>
  </si>
  <si>
    <t>Upper : FABRIC+PU</t>
  </si>
  <si>
    <t>Lining : PU</t>
  </si>
  <si>
    <t>Insole : PU</t>
  </si>
  <si>
    <t>Outsole : RUBBER</t>
  </si>
  <si>
    <t>Heel Height : 3-5 CM</t>
  </si>
  <si>
    <t>BLACK</t>
  </si>
  <si>
    <t>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</si>
</sst>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.00_ ;_ * \-#,##0.00_ ;_ * &quot;-&quot;??_ ;_ @_ "/>
    <numFmt numFmtId="167" formatCode="_(* #,##0_);_(* \(#,##0\);_(* &quot;-&quot;??_);_(@_)"/>
    <numFmt numFmtId="168" formatCode="[$-409]d\-mmm\-yy;@"/>
    <numFmt numFmtId="169" formatCode="[$￥-804]#,##0"/>
    <numFmt numFmtId="170" formatCode="0;0;\-"/>
    <numFmt numFmtId="171" formatCode="_-[$$-409]* #,##0.00_ ;_-[$$-409]* \-#,##0.00\ ;_-[$$-409]* &quot;-&quot;??_ ;_-@_ "/>
  </numFmts>
  <fonts count="40">
    <font>
      <sz val="11"/>
      <color theme="1"/>
      <name val="Calibri"/>
      <charset val="134"/>
      <scheme val="minor"/>
    </font>
    <font>
      <sz val="10"/>
      <name val="Arial"/>
    </font>
    <font>
      <sz val="10"/>
      <color rgb="FFFF0000"/>
      <name val="Arial"/>
    </font>
    <font>
      <sz val="14"/>
      <name val="Arial"/>
    </font>
    <font>
      <b/>
      <sz val="10"/>
      <name val="Arial"/>
    </font>
    <font>
      <b/>
      <sz val="10"/>
      <color rgb="FFFF0000"/>
      <name val="Arial"/>
    </font>
    <font>
      <sz val="18"/>
      <color indexed="9"/>
      <name val="Trebuchet MS"/>
    </font>
    <font>
      <b/>
      <sz val="18"/>
      <name val="Trebuchet MS"/>
    </font>
    <font>
      <sz val="10"/>
      <name val="Trebuchet MS"/>
    </font>
    <font>
      <b/>
      <sz val="14"/>
      <name val="Trebuchet MS"/>
    </font>
    <font>
      <b/>
      <sz val="16"/>
      <color indexed="16"/>
      <name val="Trebuchet MS"/>
    </font>
    <font>
      <b/>
      <sz val="12"/>
      <color indexed="18"/>
      <name val="Trebuchet MS"/>
    </font>
    <font>
      <b/>
      <sz val="14"/>
      <color indexed="9"/>
      <name val="Trebuchet MS"/>
    </font>
    <font>
      <sz val="9"/>
      <name val="Trebuchet MS"/>
    </font>
    <font>
      <sz val="14"/>
      <name val="Trebuchet MS"/>
    </font>
    <font>
      <sz val="11"/>
      <name val="Trebuchet MS"/>
    </font>
    <font>
      <b/>
      <sz val="11"/>
      <name val="Trebuchet MS"/>
    </font>
    <font>
      <b/>
      <sz val="12"/>
      <name val="Trebuchet MS"/>
    </font>
    <font>
      <b/>
      <sz val="12"/>
      <name val="Trebuchet MS"/>
      <charset val="134"/>
    </font>
    <font>
      <b/>
      <sz val="14"/>
      <color rgb="FF900000"/>
      <name val="Trebuchet MS"/>
    </font>
    <font>
      <sz val="14"/>
      <color indexed="10"/>
      <name val="Trebuchet MS"/>
    </font>
    <font>
      <b/>
      <sz val="14"/>
      <color indexed="10"/>
      <name val="Trebuchet MS"/>
    </font>
    <font>
      <b/>
      <sz val="36"/>
      <color indexed="10"/>
      <name val="Trebuchet MS"/>
    </font>
    <font>
      <b/>
      <sz val="12"/>
      <color rgb="FFFF0000"/>
      <name val="Trebuchet MS"/>
    </font>
    <font>
      <b/>
      <sz val="10"/>
      <name val="Trebuchet MS"/>
    </font>
    <font>
      <b/>
      <sz val="9"/>
      <color indexed="10"/>
      <name val="Trebuchet MS"/>
    </font>
    <font>
      <sz val="14"/>
      <name val="SimSun"/>
    </font>
    <font>
      <b/>
      <sz val="16"/>
      <color rgb="FFFF0000"/>
      <name val="Trebuchet MS"/>
    </font>
    <font>
      <sz val="16"/>
      <name val="Trebuchet MS"/>
    </font>
    <font>
      <b/>
      <sz val="13"/>
      <name val="Trebuchet MS"/>
    </font>
    <font>
      <sz val="12"/>
      <name val="Trebuchet MS"/>
    </font>
    <font>
      <b/>
      <sz val="11"/>
      <color indexed="36"/>
      <name val="Trebuchet MS"/>
    </font>
    <font>
      <b/>
      <sz val="12"/>
      <color indexed="16"/>
      <name val="Trebuchet MS"/>
    </font>
    <font>
      <sz val="10"/>
      <name val="Arial"/>
      <charset val="134"/>
    </font>
    <font>
      <b/>
      <sz val="12"/>
      <name val="SimSun"/>
    </font>
    <font>
      <b/>
      <sz val="12"/>
      <name val="SimSun"/>
      <charset val="134"/>
    </font>
    <font>
      <sz val="12"/>
      <name val="SimSun"/>
    </font>
    <font>
      <b/>
      <sz val="14"/>
      <name val="SimSun"/>
    </font>
    <font>
      <b/>
      <sz val="13"/>
      <name val="SimSun"/>
    </font>
    <font>
      <sz val="11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theme="0"/>
        <bgColor indexed="64"/>
      </patternFill>
    </fill>
  </fills>
  <borders count="74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indexed="8"/>
      </right>
      <top style="medium">
        <color indexed="8"/>
      </top>
      <bottom style="thin">
        <color auto="1"/>
      </bottom>
      <diagonal/>
    </border>
    <border>
      <left style="medium">
        <color auto="1"/>
      </left>
      <right/>
      <top/>
      <bottom style="dash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8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medium">
        <color auto="1"/>
      </right>
      <top style="double">
        <color auto="1"/>
      </top>
      <bottom style="medium">
        <color auto="1"/>
      </bottom>
      <diagonal/>
    </border>
  </borders>
  <cellStyleXfs count="6">
    <xf numFmtId="0" fontId="0" fillId="0" borderId="0">
      <alignment vertical="center"/>
    </xf>
    <xf numFmtId="166" fontId="39" fillId="0" borderId="0" applyFont="0" applyFill="0" applyBorder="0" applyAlignment="0" applyProtection="0">
      <alignment vertical="center"/>
    </xf>
    <xf numFmtId="164" fontId="39" fillId="0" borderId="0" applyFont="0" applyFill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0" fontId="33" fillId="0" borderId="0"/>
    <xf numFmtId="0" fontId="1" fillId="0" borderId="0"/>
  </cellStyleXfs>
  <cellXfs count="293">
    <xf numFmtId="0" fontId="0" fillId="0" borderId="0" xfId="0">
      <alignment vertical="center"/>
    </xf>
    <xf numFmtId="0" fontId="1" fillId="0" borderId="0" xfId="0" applyFont="1" applyAlignment="1"/>
    <xf numFmtId="167" fontId="1" fillId="0" borderId="0" xfId="1" applyNumberFormat="1" applyFont="1" applyFill="1" applyAlignment="1"/>
    <xf numFmtId="0" fontId="2" fillId="0" borderId="0" xfId="0" applyFont="1" applyAlignment="1"/>
    <xf numFmtId="0" fontId="3" fillId="0" borderId="0" xfId="0" applyFont="1" applyAlignme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7" fontId="3" fillId="0" borderId="0" xfId="0" applyNumberFormat="1" applyFont="1" applyAlignment="1">
      <alignment horizontal="center"/>
    </xf>
    <xf numFmtId="165" fontId="4" fillId="2" borderId="1" xfId="1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3" xfId="0" applyFont="1" applyBorder="1" applyAlignment="1"/>
    <xf numFmtId="167" fontId="1" fillId="0" borderId="4" xfId="1" applyNumberFormat="1" applyFont="1" applyFill="1" applyBorder="1" applyAlignment="1">
      <alignment horizontal="center"/>
    </xf>
    <xf numFmtId="167" fontId="1" fillId="0" borderId="0" xfId="1" applyNumberFormat="1" applyFont="1" applyFill="1" applyAlignment="1">
      <alignment horizontal="center"/>
    </xf>
    <xf numFmtId="167" fontId="1" fillId="0" borderId="5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right"/>
    </xf>
    <xf numFmtId="167" fontId="2" fillId="0" borderId="0" xfId="1" applyNumberFormat="1" applyFont="1" applyFill="1" applyAlignment="1"/>
    <xf numFmtId="167" fontId="1" fillId="0" borderId="0" xfId="1" applyNumberFormat="1" applyFont="1" applyFill="1" applyAlignment="1">
      <alignment horizontal="right"/>
    </xf>
    <xf numFmtId="167" fontId="1" fillId="0" borderId="1" xfId="1" applyNumberFormat="1" applyFont="1" applyFill="1" applyBorder="1" applyAlignment="1">
      <alignment horizontal="center"/>
    </xf>
    <xf numFmtId="167" fontId="1" fillId="0" borderId="2" xfId="1" applyNumberFormat="1" applyFont="1" applyFill="1" applyBorder="1" applyAlignment="1">
      <alignment horizontal="center"/>
    </xf>
    <xf numFmtId="167" fontId="1" fillId="0" borderId="3" xfId="1" applyNumberFormat="1" applyFont="1" applyFill="1" applyBorder="1" applyAlignment="1">
      <alignment horizontal="center"/>
    </xf>
    <xf numFmtId="167" fontId="1" fillId="0" borderId="3" xfId="1" applyNumberFormat="1" applyFont="1" applyFill="1" applyBorder="1" applyAlignment="1"/>
    <xf numFmtId="167" fontId="1" fillId="0" borderId="6" xfId="1" applyNumberFormat="1" applyFont="1" applyFill="1" applyBorder="1" applyAlignment="1">
      <alignment horizontal="center"/>
    </xf>
    <xf numFmtId="167" fontId="5" fillId="0" borderId="7" xfId="1" applyNumberFormat="1" applyFont="1" applyFill="1" applyBorder="1" applyAlignment="1">
      <alignment wrapText="1"/>
    </xf>
    <xf numFmtId="167" fontId="5" fillId="0" borderId="5" xfId="1" applyNumberFormat="1" applyFont="1" applyFill="1" applyBorder="1" applyAlignment="1">
      <alignment horizontal="center"/>
    </xf>
    <xf numFmtId="167" fontId="1" fillId="0" borderId="0" xfId="0" applyNumberFormat="1" applyFont="1" applyAlignment="1"/>
    <xf numFmtId="0" fontId="5" fillId="0" borderId="0" xfId="0" applyFont="1" applyAlignment="1">
      <alignment horizontal="right"/>
    </xf>
    <xf numFmtId="167" fontId="5" fillId="0" borderId="0" xfId="0" applyNumberFormat="1" applyFont="1" applyAlignment="1">
      <alignment horizontal="right"/>
    </xf>
    <xf numFmtId="167" fontId="5" fillId="0" borderId="0" xfId="0" applyNumberFormat="1" applyFont="1" applyAlignment="1">
      <alignment wrapText="1"/>
    </xf>
    <xf numFmtId="9" fontId="1" fillId="0" borderId="0" xfId="3" applyFont="1" applyFill="1" applyAlignment="1">
      <alignment horizontal="center"/>
    </xf>
    <xf numFmtId="9" fontId="1" fillId="0" borderId="0" xfId="3" applyFont="1" applyFill="1" applyAlignment="1"/>
    <xf numFmtId="0" fontId="3" fillId="0" borderId="0" xfId="0" applyFont="1" applyAlignment="1">
      <alignment horizontal="center"/>
    </xf>
    <xf numFmtId="167" fontId="1" fillId="0" borderId="0" xfId="1" applyNumberFormat="1" applyFont="1" applyFill="1" applyBorder="1" applyAlignment="1"/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0" borderId="8" xfId="0" applyFont="1" applyBorder="1">
      <alignment vertical="center"/>
    </xf>
    <xf numFmtId="0" fontId="9" fillId="0" borderId="9" xfId="0" applyFont="1" applyBorder="1" applyAlignment="1">
      <alignment horizontal="left" vertical="center"/>
    </xf>
    <xf numFmtId="0" fontId="9" fillId="0" borderId="10" xfId="0" applyFont="1" applyBorder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0" fontId="9" fillId="0" borderId="12" xfId="0" applyFont="1" applyBorder="1">
      <alignment vertical="center"/>
    </xf>
    <xf numFmtId="168" fontId="9" fillId="0" borderId="0" xfId="0" applyNumberFormat="1" applyFont="1">
      <alignment vertical="center"/>
    </xf>
    <xf numFmtId="0" fontId="14" fillId="0" borderId="13" xfId="0" applyFont="1" applyBorder="1">
      <alignment vertical="center"/>
    </xf>
    <xf numFmtId="0" fontId="8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left" vertical="center"/>
    </xf>
    <xf numFmtId="168" fontId="9" fillId="0" borderId="13" xfId="0" applyNumberFormat="1" applyFont="1" applyBorder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9" fillId="0" borderId="14" xfId="0" applyFont="1" applyBorder="1">
      <alignment vertical="center"/>
    </xf>
    <xf numFmtId="0" fontId="15" fillId="0" borderId="0" xfId="0" applyFont="1">
      <alignment vertical="center"/>
    </xf>
    <xf numFmtId="169" fontId="8" fillId="0" borderId="0" xfId="1" applyNumberFormat="1" applyFont="1" applyAlignment="1">
      <alignment vertical="center"/>
    </xf>
    <xf numFmtId="165" fontId="8" fillId="0" borderId="0" xfId="1" applyNumberFormat="1" applyFont="1" applyAlignment="1">
      <alignment vertical="center"/>
    </xf>
    <xf numFmtId="0" fontId="18" fillId="0" borderId="33" xfId="4" applyFont="1" applyBorder="1" applyAlignment="1">
      <alignment horizontal="center" vertical="top"/>
    </xf>
    <xf numFmtId="169" fontId="17" fillId="0" borderId="36" xfId="1" applyNumberFormat="1" applyFont="1" applyBorder="1" applyAlignment="1">
      <alignment horizontal="center" vertical="center" wrapText="1"/>
    </xf>
    <xf numFmtId="169" fontId="17" fillId="0" borderId="39" xfId="1" applyNumberFormat="1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/>
    </xf>
    <xf numFmtId="170" fontId="9" fillId="0" borderId="40" xfId="0" applyNumberFormat="1" applyFont="1" applyBorder="1" applyAlignment="1">
      <alignment horizontal="center" vertical="center"/>
    </xf>
    <xf numFmtId="170" fontId="9" fillId="0" borderId="41" xfId="0" applyNumberFormat="1" applyFont="1" applyBorder="1" applyAlignment="1">
      <alignment horizontal="center" vertical="center"/>
    </xf>
    <xf numFmtId="170" fontId="9" fillId="0" borderId="42" xfId="0" applyNumberFormat="1" applyFont="1" applyBorder="1" applyAlignment="1">
      <alignment horizontal="center" vertical="center"/>
    </xf>
    <xf numFmtId="170" fontId="9" fillId="0" borderId="43" xfId="1" applyNumberFormat="1" applyFont="1" applyFill="1" applyBorder="1" applyAlignment="1">
      <alignment horizontal="center" vertical="center"/>
    </xf>
    <xf numFmtId="170" fontId="9" fillId="0" borderId="44" xfId="1" applyNumberFormat="1" applyFont="1" applyFill="1" applyBorder="1" applyAlignment="1">
      <alignment horizontal="center" vertical="center"/>
    </xf>
    <xf numFmtId="170" fontId="9" fillId="0" borderId="45" xfId="0" applyNumberFormat="1" applyFont="1" applyBorder="1" applyAlignment="1">
      <alignment horizontal="center" vertical="center"/>
    </xf>
    <xf numFmtId="171" fontId="19" fillId="0" borderId="44" xfId="2" applyNumberFormat="1" applyFont="1" applyFill="1" applyBorder="1" applyAlignment="1">
      <alignment horizontal="center" vertical="center"/>
    </xf>
    <xf numFmtId="171" fontId="9" fillId="0" borderId="46" xfId="2" applyNumberFormat="1" applyFont="1" applyFill="1" applyBorder="1" applyAlignment="1">
      <alignment horizontal="center" vertical="center"/>
    </xf>
    <xf numFmtId="1" fontId="14" fillId="0" borderId="11" xfId="0" applyNumberFormat="1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4" fillId="0" borderId="50" xfId="5" applyFont="1" applyBorder="1" applyAlignment="1">
      <alignment horizontal="left" vertical="center"/>
    </xf>
    <xf numFmtId="0" fontId="9" fillId="0" borderId="11" xfId="0" applyFont="1" applyBorder="1" applyAlignment="1">
      <alignment horizontal="center" vertical="center"/>
    </xf>
    <xf numFmtId="170" fontId="9" fillId="0" borderId="50" xfId="0" applyNumberFormat="1" applyFont="1" applyBorder="1" applyAlignment="1">
      <alignment horizontal="center" vertical="center"/>
    </xf>
    <xf numFmtId="170" fontId="9" fillId="0" borderId="11" xfId="0" applyNumberFormat="1" applyFont="1" applyBorder="1" applyAlignment="1">
      <alignment horizontal="center" vertical="center"/>
    </xf>
    <xf numFmtId="0" fontId="14" fillId="0" borderId="51" xfId="5" applyFont="1" applyBorder="1" applyAlignment="1">
      <alignment horizontal="left" vertical="center"/>
    </xf>
    <xf numFmtId="171" fontId="19" fillId="0" borderId="7" xfId="2" applyNumberFormat="1" applyFont="1" applyFill="1" applyBorder="1" applyAlignment="1">
      <alignment horizontal="center" vertical="center"/>
    </xf>
    <xf numFmtId="170" fontId="9" fillId="0" borderId="46" xfId="0" applyNumberFormat="1" applyFont="1" applyBorder="1" applyAlignment="1">
      <alignment horizontal="center" vertical="center"/>
    </xf>
    <xf numFmtId="170" fontId="9" fillId="0" borderId="6" xfId="1" applyNumberFormat="1" applyFont="1" applyFill="1" applyBorder="1" applyAlignment="1">
      <alignment horizontal="center" vertical="center"/>
    </xf>
    <xf numFmtId="170" fontId="9" fillId="0" borderId="49" xfId="1" applyNumberFormat="1" applyFont="1" applyFill="1" applyBorder="1" applyAlignment="1">
      <alignment horizontal="center" vertical="center"/>
    </xf>
    <xf numFmtId="171" fontId="9" fillId="0" borderId="52" xfId="2" applyNumberFormat="1" applyFont="1" applyFill="1" applyBorder="1" applyAlignment="1">
      <alignment horizontal="center" vertical="center"/>
    </xf>
    <xf numFmtId="0" fontId="14" fillId="0" borderId="32" xfId="0" applyFont="1" applyBorder="1">
      <alignment vertical="center"/>
    </xf>
    <xf numFmtId="0" fontId="20" fillId="0" borderId="36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170" fontId="9" fillId="0" borderId="32" xfId="0" applyNumberFormat="1" applyFont="1" applyBorder="1" applyAlignment="1">
      <alignment horizontal="center" vertical="center"/>
    </xf>
    <xf numFmtId="170" fontId="9" fillId="0" borderId="33" xfId="0" applyNumberFormat="1" applyFont="1" applyBorder="1" applyAlignment="1">
      <alignment horizontal="center" vertical="center"/>
    </xf>
    <xf numFmtId="170" fontId="9" fillId="0" borderId="35" xfId="0" applyNumberFormat="1" applyFont="1" applyBorder="1" applyAlignment="1">
      <alignment horizontal="center" vertical="center"/>
    </xf>
    <xf numFmtId="170" fontId="9" fillId="0" borderId="36" xfId="1" applyNumberFormat="1" applyFont="1" applyFill="1" applyBorder="1" applyAlignment="1">
      <alignment horizontal="center" vertical="center"/>
    </xf>
    <xf numFmtId="170" fontId="9" fillId="0" borderId="37" xfId="1" applyNumberFormat="1" applyFont="1" applyFill="1" applyBorder="1" applyAlignment="1">
      <alignment horizontal="center" vertical="center"/>
    </xf>
    <xf numFmtId="171" fontId="9" fillId="0" borderId="53" xfId="2" applyNumberFormat="1" applyFont="1" applyFill="1" applyBorder="1" applyAlignment="1">
      <alignment vertical="center"/>
    </xf>
    <xf numFmtId="171" fontId="9" fillId="0" borderId="35" xfId="2" applyNumberFormat="1" applyFont="1" applyFill="1" applyBorder="1" applyAlignment="1">
      <alignment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170" fontId="14" fillId="0" borderId="0" xfId="0" applyNumberFormat="1" applyFont="1">
      <alignment vertical="center"/>
    </xf>
    <xf numFmtId="170" fontId="9" fillId="0" borderId="54" xfId="0" applyNumberFormat="1" applyFont="1" applyBorder="1" applyAlignment="1">
      <alignment horizontal="center" vertical="center"/>
    </xf>
    <xf numFmtId="170" fontId="9" fillId="0" borderId="55" xfId="0" applyNumberFormat="1" applyFont="1" applyBorder="1" applyAlignment="1">
      <alignment horizontal="center" vertical="center"/>
    </xf>
    <xf numFmtId="170" fontId="9" fillId="0" borderId="56" xfId="0" applyNumberFormat="1" applyFont="1" applyBorder="1" applyAlignment="1">
      <alignment horizontal="center" vertical="center"/>
    </xf>
    <xf numFmtId="171" fontId="9" fillId="5" borderId="21" xfId="2" applyNumberFormat="1" applyFont="1" applyFill="1" applyBorder="1" applyAlignment="1">
      <alignment vertical="center"/>
    </xf>
    <xf numFmtId="171" fontId="9" fillId="0" borderId="57" xfId="2" applyNumberFormat="1" applyFont="1" applyFill="1" applyBorder="1" applyAlignment="1">
      <alignment horizontal="center" vertical="center"/>
    </xf>
    <xf numFmtId="0" fontId="17" fillId="0" borderId="8" xfId="0" applyFont="1" applyBorder="1" applyAlignment="1">
      <alignment vertical="center" wrapText="1"/>
    </xf>
    <xf numFmtId="165" fontId="8" fillId="0" borderId="0" xfId="1" applyNumberFormat="1" applyFont="1" applyBorder="1" applyAlignment="1">
      <alignment vertical="center"/>
    </xf>
    <xf numFmtId="169" fontId="8" fillId="0" borderId="0" xfId="1" applyNumberFormat="1" applyFont="1" applyBorder="1" applyAlignment="1">
      <alignment vertical="center"/>
    </xf>
    <xf numFmtId="0" fontId="17" fillId="0" borderId="12" xfId="0" applyFont="1" applyBorder="1" applyAlignment="1">
      <alignment vertical="center" wrapText="1"/>
    </xf>
    <xf numFmtId="0" fontId="17" fillId="0" borderId="60" xfId="0" applyFont="1" applyBorder="1">
      <alignment vertical="center"/>
    </xf>
    <xf numFmtId="0" fontId="17" fillId="0" borderId="64" xfId="0" applyFont="1" applyBorder="1">
      <alignment vertical="center"/>
    </xf>
    <xf numFmtId="0" fontId="9" fillId="0" borderId="65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17" fillId="0" borderId="12" xfId="0" applyFont="1" applyBorder="1">
      <alignment vertical="center"/>
    </xf>
    <xf numFmtId="170" fontId="14" fillId="0" borderId="17" xfId="1" applyNumberFormat="1" applyFont="1" applyBorder="1" applyAlignment="1">
      <alignment horizontal="center" vertical="center"/>
    </xf>
    <xf numFmtId="170" fontId="14" fillId="0" borderId="29" xfId="1" applyNumberFormat="1" applyFont="1" applyBorder="1" applyAlignment="1">
      <alignment horizontal="center" vertical="center"/>
    </xf>
    <xf numFmtId="170" fontId="14" fillId="0" borderId="30" xfId="1" applyNumberFormat="1" applyFont="1" applyBorder="1" applyAlignment="1">
      <alignment horizontal="center" vertical="center"/>
    </xf>
    <xf numFmtId="170" fontId="9" fillId="0" borderId="25" xfId="1" applyNumberFormat="1" applyFont="1" applyBorder="1" applyAlignment="1">
      <alignment horizontal="center" vertical="center"/>
    </xf>
    <xf numFmtId="0" fontId="23" fillId="0" borderId="64" xfId="0" applyFont="1" applyBorder="1" applyAlignment="1">
      <alignment vertical="center" wrapText="1"/>
    </xf>
    <xf numFmtId="170" fontId="14" fillId="0" borderId="50" xfId="1" applyNumberFormat="1" applyFont="1" applyBorder="1" applyAlignment="1">
      <alignment horizontal="center" vertical="center"/>
    </xf>
    <xf numFmtId="170" fontId="14" fillId="0" borderId="11" xfId="1" applyNumberFormat="1" applyFont="1" applyBorder="1" applyAlignment="1">
      <alignment horizontal="center" vertical="center"/>
    </xf>
    <xf numFmtId="170" fontId="14" fillId="0" borderId="46" xfId="1" applyNumberFormat="1" applyFont="1" applyBorder="1" applyAlignment="1">
      <alignment horizontal="center" vertical="center"/>
    </xf>
    <xf numFmtId="170" fontId="9" fillId="0" borderId="68" xfId="1" applyNumberFormat="1" applyFont="1" applyBorder="1" applyAlignment="1">
      <alignment horizontal="center" vertical="center"/>
    </xf>
    <xf numFmtId="170" fontId="9" fillId="0" borderId="0" xfId="0" applyNumberFormat="1" applyFont="1" applyAlignment="1">
      <alignment horizontal="center" vertical="center"/>
    </xf>
    <xf numFmtId="170" fontId="8" fillId="0" borderId="0" xfId="0" applyNumberFormat="1" applyFont="1" applyAlignment="1">
      <alignment horizontal="center" vertical="center"/>
    </xf>
    <xf numFmtId="0" fontId="17" fillId="0" borderId="12" xfId="0" applyFont="1" applyBorder="1" applyAlignment="1">
      <alignment horizontal="left" vertical="center"/>
    </xf>
    <xf numFmtId="170" fontId="9" fillId="0" borderId="69" xfId="1" applyNumberFormat="1" applyFont="1" applyBorder="1" applyAlignment="1">
      <alignment horizontal="center" vertical="center"/>
    </xf>
    <xf numFmtId="165" fontId="8" fillId="0" borderId="0" xfId="1" applyNumberFormat="1" applyFont="1" applyFill="1" applyBorder="1" applyAlignment="1">
      <alignment vertical="center"/>
    </xf>
    <xf numFmtId="170" fontId="14" fillId="0" borderId="0" xfId="0" applyNumberFormat="1" applyFont="1" applyAlignment="1">
      <alignment horizontal="center" vertical="center"/>
    </xf>
    <xf numFmtId="170" fontId="9" fillId="0" borderId="54" xfId="1" applyNumberFormat="1" applyFont="1" applyBorder="1" applyAlignment="1">
      <alignment horizontal="center" vertical="center"/>
    </xf>
    <xf numFmtId="170" fontId="9" fillId="0" borderId="70" xfId="1" applyNumberFormat="1" applyFont="1" applyBorder="1" applyAlignment="1">
      <alignment horizontal="center" vertical="center"/>
    </xf>
    <xf numFmtId="170" fontId="9" fillId="0" borderId="55" xfId="1" applyNumberFormat="1" applyFont="1" applyBorder="1" applyAlignment="1">
      <alignment horizontal="center" vertical="center"/>
    </xf>
    <xf numFmtId="170" fontId="9" fillId="0" borderId="57" xfId="1" applyNumberFormat="1" applyFont="1" applyBorder="1" applyAlignment="1">
      <alignment horizontal="center" vertical="center"/>
    </xf>
    <xf numFmtId="165" fontId="8" fillId="0" borderId="0" xfId="1" applyNumberFormat="1" applyFont="1" applyFill="1" applyAlignment="1">
      <alignment vertical="center"/>
    </xf>
    <xf numFmtId="0" fontId="24" fillId="0" borderId="14" xfId="0" applyFont="1" applyBorder="1">
      <alignment vertical="center"/>
    </xf>
    <xf numFmtId="169" fontId="8" fillId="0" borderId="0" xfId="1" applyNumberFormat="1" applyFont="1" applyFill="1" applyBorder="1" applyAlignment="1">
      <alignment vertical="center"/>
    </xf>
    <xf numFmtId="0" fontId="24" fillId="0" borderId="0" xfId="0" applyFont="1">
      <alignment vertical="center"/>
    </xf>
    <xf numFmtId="0" fontId="17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5" fillId="0" borderId="0" xfId="0" applyFont="1">
      <alignment vertical="center"/>
    </xf>
    <xf numFmtId="0" fontId="8" fillId="0" borderId="12" xfId="0" applyFont="1" applyBorder="1">
      <alignment vertical="center"/>
    </xf>
    <xf numFmtId="0" fontId="14" fillId="0" borderId="12" xfId="0" applyFont="1" applyBorder="1">
      <alignment vertical="center"/>
    </xf>
    <xf numFmtId="0" fontId="26" fillId="0" borderId="12" xfId="0" applyFont="1" applyBorder="1">
      <alignment vertical="center"/>
    </xf>
    <xf numFmtId="0" fontId="27" fillId="0" borderId="12" xfId="0" applyFont="1" applyBorder="1">
      <alignment vertical="center"/>
    </xf>
    <xf numFmtId="0" fontId="8" fillId="8" borderId="8" xfId="0" applyFont="1" applyFill="1" applyBorder="1">
      <alignment vertical="center"/>
    </xf>
    <xf numFmtId="0" fontId="8" fillId="8" borderId="9" xfId="0" applyFont="1" applyFill="1" applyBorder="1">
      <alignment vertical="center"/>
    </xf>
    <xf numFmtId="0" fontId="8" fillId="8" borderId="10" xfId="0" applyFont="1" applyFill="1" applyBorder="1">
      <alignment vertical="center"/>
    </xf>
    <xf numFmtId="0" fontId="32" fillId="8" borderId="9" xfId="0" applyFont="1" applyFill="1" applyBorder="1">
      <alignment vertical="center"/>
    </xf>
    <xf numFmtId="0" fontId="8" fillId="8" borderId="12" xfId="0" applyFont="1" applyFill="1" applyBorder="1">
      <alignment vertical="center"/>
    </xf>
    <xf numFmtId="0" fontId="8" fillId="8" borderId="0" xfId="0" applyFont="1" applyFill="1">
      <alignment vertical="center"/>
    </xf>
    <xf numFmtId="0" fontId="8" fillId="8" borderId="13" xfId="0" applyFont="1" applyFill="1" applyBorder="1">
      <alignment vertical="center"/>
    </xf>
    <xf numFmtId="0" fontId="32" fillId="8" borderId="0" xfId="0" applyFont="1" applyFill="1">
      <alignment vertical="center"/>
    </xf>
    <xf numFmtId="0" fontId="30" fillId="8" borderId="13" xfId="0" applyFont="1" applyFill="1" applyBorder="1">
      <alignment vertical="center"/>
    </xf>
    <xf numFmtId="0" fontId="9" fillId="8" borderId="12" xfId="0" applyFont="1" applyFill="1" applyBorder="1">
      <alignment vertical="center"/>
    </xf>
    <xf numFmtId="0" fontId="8" fillId="8" borderId="14" xfId="0" applyFont="1" applyFill="1" applyBorder="1">
      <alignment vertical="center"/>
    </xf>
    <xf numFmtId="0" fontId="8" fillId="8" borderId="15" xfId="0" applyFont="1" applyFill="1" applyBorder="1">
      <alignment vertical="center"/>
    </xf>
    <xf numFmtId="0" fontId="8" fillId="8" borderId="16" xfId="0" applyFont="1" applyFill="1" applyBorder="1">
      <alignment vertical="center"/>
    </xf>
    <xf numFmtId="0" fontId="30" fillId="8" borderId="16" xfId="0" applyFont="1" applyFill="1" applyBorder="1">
      <alignment vertical="center"/>
    </xf>
    <xf numFmtId="0" fontId="6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17" fillId="0" borderId="20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33" xfId="0" applyFont="1" applyBorder="1">
      <alignment vertical="center"/>
    </xf>
    <xf numFmtId="0" fontId="17" fillId="0" borderId="33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6" borderId="20" xfId="0" applyFont="1" applyFill="1" applyBorder="1" applyAlignment="1">
      <alignment horizontal="center" vertical="center"/>
    </xf>
    <xf numFmtId="0" fontId="17" fillId="6" borderId="21" xfId="0" applyFont="1" applyFill="1" applyBorder="1" applyAlignment="1">
      <alignment horizontal="center" vertical="center"/>
    </xf>
    <xf numFmtId="0" fontId="17" fillId="6" borderId="22" xfId="0" applyFont="1" applyFill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170" fontId="14" fillId="0" borderId="67" xfId="0" applyNumberFormat="1" applyFont="1" applyBorder="1" applyAlignment="1">
      <alignment horizontal="center" vertical="center"/>
    </xf>
    <xf numFmtId="170" fontId="14" fillId="0" borderId="44" xfId="0" applyNumberFormat="1" applyFont="1" applyBorder="1" applyAlignment="1">
      <alignment horizontal="center" vertical="center"/>
    </xf>
    <xf numFmtId="170" fontId="14" fillId="0" borderId="53" xfId="1" applyNumberFormat="1" applyFont="1" applyBorder="1" applyAlignment="1">
      <alignment horizontal="center" vertical="center"/>
    </xf>
    <xf numFmtId="168" fontId="22" fillId="2" borderId="9" xfId="0" applyNumberFormat="1" applyFont="1" applyFill="1" applyBorder="1" applyAlignment="1">
      <alignment horizontal="center" vertical="center"/>
    </xf>
    <xf numFmtId="168" fontId="22" fillId="2" borderId="10" xfId="0" applyNumberFormat="1" applyFont="1" applyFill="1" applyBorder="1" applyAlignment="1">
      <alignment horizontal="center" vertical="center"/>
    </xf>
    <xf numFmtId="168" fontId="22" fillId="2" borderId="58" xfId="0" applyNumberFormat="1" applyFont="1" applyFill="1" applyBorder="1" applyAlignment="1">
      <alignment horizontal="center" vertical="center"/>
    </xf>
    <xf numFmtId="168" fontId="22" fillId="2" borderId="59" xfId="0" applyNumberFormat="1" applyFont="1" applyFill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17" fillId="6" borderId="0" xfId="0" applyFont="1" applyFill="1" applyAlignment="1">
      <alignment horizontal="center" vertical="center"/>
    </xf>
    <xf numFmtId="0" fontId="17" fillId="6" borderId="13" xfId="0" applyFont="1" applyFill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29" fillId="6" borderId="8" xfId="0" applyFont="1" applyFill="1" applyBorder="1" applyAlignment="1">
      <alignment horizontal="center" vertical="center" wrapText="1"/>
    </xf>
    <xf numFmtId="0" fontId="29" fillId="6" borderId="9" xfId="0" applyFont="1" applyFill="1" applyBorder="1" applyAlignment="1">
      <alignment horizontal="center" vertical="center" wrapText="1"/>
    </xf>
    <xf numFmtId="0" fontId="29" fillId="6" borderId="10" xfId="0" applyFont="1" applyFill="1" applyBorder="1" applyAlignment="1">
      <alignment horizontal="center" vertical="center" wrapText="1"/>
    </xf>
    <xf numFmtId="0" fontId="17" fillId="6" borderId="12" xfId="0" applyFont="1" applyFill="1" applyBorder="1" applyAlignment="1">
      <alignment horizontal="center" vertical="center"/>
    </xf>
    <xf numFmtId="0" fontId="17" fillId="6" borderId="14" xfId="0" applyFont="1" applyFill="1" applyBorder="1" applyAlignment="1">
      <alignment horizontal="center" vertical="center"/>
    </xf>
    <xf numFmtId="0" fontId="17" fillId="6" borderId="15" xfId="0" applyFont="1" applyFill="1" applyBorder="1" applyAlignment="1">
      <alignment horizontal="center" vertical="center"/>
    </xf>
    <xf numFmtId="0" fontId="17" fillId="6" borderId="16" xfId="0" applyFont="1" applyFill="1" applyBorder="1" applyAlignment="1">
      <alignment horizontal="center" vertical="center"/>
    </xf>
    <xf numFmtId="0" fontId="17" fillId="6" borderId="14" xfId="0" applyFont="1" applyFill="1" applyBorder="1" applyAlignment="1">
      <alignment horizontal="center" vertical="top"/>
    </xf>
    <xf numFmtId="0" fontId="17" fillId="6" borderId="15" xfId="0" applyFont="1" applyFill="1" applyBorder="1" applyAlignment="1">
      <alignment horizontal="center" vertical="top"/>
    </xf>
    <xf numFmtId="0" fontId="17" fillId="6" borderId="16" xfId="0" applyFont="1" applyFill="1" applyBorder="1" applyAlignment="1">
      <alignment horizontal="center" vertical="top"/>
    </xf>
    <xf numFmtId="170" fontId="7" fillId="7" borderId="20" xfId="0" applyNumberFormat="1" applyFont="1" applyFill="1" applyBorder="1" applyAlignment="1">
      <alignment horizontal="center" vertical="center"/>
    </xf>
    <xf numFmtId="170" fontId="7" fillId="7" borderId="21" xfId="0" applyNumberFormat="1" applyFont="1" applyFill="1" applyBorder="1" applyAlignment="1">
      <alignment horizontal="center" vertical="center"/>
    </xf>
    <xf numFmtId="170" fontId="7" fillId="7" borderId="22" xfId="0" applyNumberFormat="1" applyFont="1" applyFill="1" applyBorder="1" applyAlignment="1">
      <alignment horizontal="center" vertical="center"/>
    </xf>
    <xf numFmtId="0" fontId="27" fillId="0" borderId="71" xfId="0" applyFont="1" applyBorder="1" applyAlignment="1">
      <alignment horizontal="center" vertical="center"/>
    </xf>
    <xf numFmtId="0" fontId="27" fillId="0" borderId="72" xfId="0" applyFont="1" applyBorder="1" applyAlignment="1">
      <alignment horizontal="center" vertical="center"/>
    </xf>
    <xf numFmtId="0" fontId="27" fillId="0" borderId="73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left" vertical="center" wrapText="1"/>
    </xf>
    <xf numFmtId="0" fontId="9" fillId="0" borderId="47" xfId="0" applyFont="1" applyBorder="1" applyAlignment="1">
      <alignment horizontal="left" vertical="center" wrapText="1"/>
    </xf>
    <xf numFmtId="0" fontId="18" fillId="0" borderId="18" xfId="4" applyFont="1" applyBorder="1" applyAlignment="1">
      <alignment horizontal="center" vertical="center" wrapText="1"/>
    </xf>
    <xf numFmtId="0" fontId="18" fillId="0" borderId="28" xfId="4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/>
    </xf>
    <xf numFmtId="0" fontId="17" fillId="0" borderId="32" xfId="0" applyFont="1" applyBorder="1">
      <alignment vertical="center"/>
    </xf>
    <xf numFmtId="169" fontId="17" fillId="0" borderId="10" xfId="1" applyNumberFormat="1" applyFont="1" applyBorder="1" applyAlignment="1">
      <alignment horizontal="center" vertical="center" wrapText="1"/>
    </xf>
    <xf numFmtId="169" fontId="17" fillId="0" borderId="13" xfId="1" applyNumberFormat="1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170" fontId="9" fillId="0" borderId="8" xfId="0" applyNumberFormat="1" applyFont="1" applyBorder="1" applyAlignment="1">
      <alignment horizontal="center" vertical="center"/>
    </xf>
    <xf numFmtId="170" fontId="9" fillId="0" borderId="9" xfId="0" applyNumberFormat="1" applyFont="1" applyBorder="1" applyAlignment="1">
      <alignment horizontal="center" vertical="center"/>
    </xf>
    <xf numFmtId="170" fontId="9" fillId="0" borderId="10" xfId="0" applyNumberFormat="1" applyFont="1" applyBorder="1" applyAlignment="1">
      <alignment horizontal="center" vertical="center"/>
    </xf>
    <xf numFmtId="170" fontId="9" fillId="0" borderId="12" xfId="0" applyNumberFormat="1" applyFont="1" applyBorder="1" applyAlignment="1">
      <alignment horizontal="center" vertical="center"/>
    </xf>
    <xf numFmtId="170" fontId="9" fillId="0" borderId="0" xfId="0" applyNumberFormat="1" applyFont="1" applyAlignment="1">
      <alignment horizontal="center" vertical="center"/>
    </xf>
    <xf numFmtId="170" fontId="9" fillId="0" borderId="13" xfId="0" applyNumberFormat="1" applyFont="1" applyBorder="1" applyAlignment="1">
      <alignment horizontal="center" vertical="center"/>
    </xf>
    <xf numFmtId="170" fontId="9" fillId="0" borderId="14" xfId="0" applyNumberFormat="1" applyFont="1" applyBorder="1" applyAlignment="1">
      <alignment horizontal="center" vertical="center"/>
    </xf>
    <xf numFmtId="170" fontId="9" fillId="0" borderId="15" xfId="0" applyNumberFormat="1" applyFont="1" applyBorder="1" applyAlignment="1">
      <alignment horizontal="center" vertical="center"/>
    </xf>
    <xf numFmtId="170" fontId="9" fillId="0" borderId="16" xfId="0" applyNumberFormat="1" applyFont="1" applyBorder="1" applyAlignment="1">
      <alignment horizontal="center" vertical="center"/>
    </xf>
    <xf numFmtId="165" fontId="16" fillId="0" borderId="23" xfId="1" applyNumberFormat="1" applyFont="1" applyBorder="1" applyAlignment="1">
      <alignment horizontal="center" vertical="center" wrapText="1"/>
    </xf>
    <xf numFmtId="165" fontId="16" fillId="0" borderId="4" xfId="1" applyNumberFormat="1" applyFont="1" applyBorder="1" applyAlignment="1">
      <alignment horizontal="center" vertical="center" wrapText="1"/>
    </xf>
    <xf numFmtId="165" fontId="16" fillId="0" borderId="36" xfId="1" applyNumberFormat="1" applyFont="1" applyBorder="1" applyAlignment="1">
      <alignment horizontal="center" vertical="center" wrapText="1"/>
    </xf>
    <xf numFmtId="165" fontId="16" fillId="0" borderId="24" xfId="1" applyNumberFormat="1" applyFont="1" applyBorder="1" applyAlignment="1">
      <alignment horizontal="center" vertical="center" wrapText="1"/>
    </xf>
    <xf numFmtId="165" fontId="16" fillId="0" borderId="5" xfId="1" applyNumberFormat="1" applyFont="1" applyBorder="1" applyAlignment="1">
      <alignment horizontal="center" vertical="center" wrapText="1"/>
    </xf>
    <xf numFmtId="165" fontId="16" fillId="0" borderId="37" xfId="1" applyNumberFormat="1" applyFont="1" applyBorder="1" applyAlignment="1">
      <alignment horizontal="center" vertical="center" wrapText="1"/>
    </xf>
    <xf numFmtId="165" fontId="16" fillId="0" borderId="25" xfId="1" applyNumberFormat="1" applyFont="1" applyBorder="1" applyAlignment="1">
      <alignment horizontal="center" vertical="center" wrapText="1"/>
    </xf>
    <xf numFmtId="165" fontId="16" fillId="0" borderId="31" xfId="1" applyNumberFormat="1" applyFont="1" applyBorder="1" applyAlignment="1">
      <alignment horizontal="center" vertical="center" wrapText="1"/>
    </xf>
    <xf numFmtId="165" fontId="16" fillId="0" borderId="38" xfId="1" applyNumberFormat="1" applyFont="1" applyBorder="1" applyAlignment="1">
      <alignment horizontal="center" vertical="center" wrapText="1"/>
    </xf>
    <xf numFmtId="169" fontId="17" fillId="0" borderId="26" xfId="1" applyNumberFormat="1" applyFont="1" applyBorder="1" applyAlignment="1">
      <alignment horizontal="center" vertical="center" wrapText="1"/>
    </xf>
    <xf numFmtId="169" fontId="17" fillId="0" borderId="4" xfId="1" applyNumberFormat="1" applyFont="1" applyBorder="1" applyAlignment="1">
      <alignment horizontal="center" vertical="center" wrapText="1"/>
    </xf>
    <xf numFmtId="0" fontId="9" fillId="0" borderId="63" xfId="0" applyFont="1" applyBorder="1" applyAlignment="1">
      <alignment horizontal="center" vertical="center" wrapText="1"/>
    </xf>
    <xf numFmtId="0" fontId="9" fillId="0" borderId="66" xfId="0" applyFont="1" applyBorder="1" applyAlignment="1">
      <alignment horizontal="center" vertical="center" wrapText="1"/>
    </xf>
    <xf numFmtId="0" fontId="31" fillId="8" borderId="8" xfId="0" applyFont="1" applyFill="1" applyBorder="1" applyAlignment="1">
      <alignment horizontal="center" vertical="center"/>
    </xf>
    <xf numFmtId="0" fontId="31" fillId="8" borderId="9" xfId="0" applyFont="1" applyFill="1" applyBorder="1" applyAlignment="1">
      <alignment horizontal="center" vertical="center"/>
    </xf>
    <xf numFmtId="0" fontId="31" fillId="8" borderId="10" xfId="0" applyFont="1" applyFill="1" applyBorder="1" applyAlignment="1">
      <alignment horizontal="center" vertical="center"/>
    </xf>
    <xf numFmtId="0" fontId="31" fillId="8" borderId="12" xfId="0" applyFont="1" applyFill="1" applyBorder="1" applyAlignment="1">
      <alignment horizontal="center" vertical="center"/>
    </xf>
    <xf numFmtId="0" fontId="31" fillId="8" borderId="0" xfId="0" applyFont="1" applyFill="1" applyAlignment="1">
      <alignment horizontal="center" vertical="center"/>
    </xf>
    <xf numFmtId="0" fontId="31" fillId="8" borderId="13" xfId="0" applyFont="1" applyFill="1" applyBorder="1" applyAlignment="1">
      <alignment horizontal="center" vertical="center"/>
    </xf>
    <xf numFmtId="0" fontId="31" fillId="8" borderId="14" xfId="0" applyFont="1" applyFill="1" applyBorder="1" applyAlignment="1">
      <alignment horizontal="center" vertical="center"/>
    </xf>
    <xf numFmtId="0" fontId="31" fillId="8" borderId="15" xfId="0" applyFont="1" applyFill="1" applyBorder="1" applyAlignment="1">
      <alignment horizontal="center" vertical="center"/>
    </xf>
    <xf numFmtId="0" fontId="31" fillId="8" borderId="16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8" fillId="8" borderId="12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8" borderId="13" xfId="0" applyFont="1" applyFill="1" applyBorder="1" applyAlignment="1">
      <alignment horizontal="center" vertical="center"/>
    </xf>
    <xf numFmtId="0" fontId="8" fillId="8" borderId="14" xfId="0" applyFont="1" applyFill="1" applyBorder="1" applyAlignment="1">
      <alignment horizontal="center" vertical="center"/>
    </xf>
    <xf numFmtId="0" fontId="8" fillId="8" borderId="15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horizontal="center" vertical="center"/>
    </xf>
    <xf numFmtId="0" fontId="9" fillId="8" borderId="21" xfId="0" applyFont="1" applyFill="1" applyBorder="1" applyAlignment="1">
      <alignment horizontal="center" vertical="center"/>
    </xf>
    <xf numFmtId="0" fontId="9" fillId="8" borderId="22" xfId="0" applyFont="1" applyFill="1" applyBorder="1" applyAlignment="1">
      <alignment horizontal="center" vertical="center"/>
    </xf>
    <xf numFmtId="0" fontId="30" fillId="6" borderId="14" xfId="0" applyFont="1" applyFill="1" applyBorder="1" applyAlignment="1">
      <alignment horizontal="center" vertical="top"/>
    </xf>
    <xf numFmtId="0" fontId="30" fillId="6" borderId="15" xfId="0" applyFont="1" applyFill="1" applyBorder="1" applyAlignment="1">
      <alignment horizontal="center" vertical="top"/>
    </xf>
    <xf numFmtId="0" fontId="30" fillId="6" borderId="16" xfId="0" applyFont="1" applyFill="1" applyBorder="1" applyAlignment="1">
      <alignment horizontal="center" vertical="top"/>
    </xf>
  </cellXfs>
  <cellStyles count="6">
    <cellStyle name="Comma" xfId="1" builtinId="3"/>
    <cellStyle name="Currency" xfId="2" builtinId="4"/>
    <cellStyle name="Normal" xfId="0" builtinId="0"/>
    <cellStyle name="Normal 2" xfId="4" xr:uid="{00000000-0005-0000-0000-000003000000}"/>
    <cellStyle name="Normal_Book1" xfId="5" xr:uid="{00000000-0005-0000-0000-000004000000}"/>
    <cellStyle name="Percent" xfId="3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720090</xdr:colOff>
      <xdr:row>20</xdr:row>
      <xdr:rowOff>55245</xdr:rowOff>
    </xdr:from>
    <xdr:to>
      <xdr:col>2</xdr:col>
      <xdr:colOff>993775</xdr:colOff>
      <xdr:row>21</xdr:row>
      <xdr:rowOff>191770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01315" y="5135245"/>
          <a:ext cx="1388110" cy="390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577215</xdr:colOff>
      <xdr:row>46</xdr:row>
      <xdr:rowOff>74295</xdr:rowOff>
    </xdr:from>
    <xdr:to>
      <xdr:col>22</xdr:col>
      <xdr:colOff>206375</xdr:colOff>
      <xdr:row>52</xdr:row>
      <xdr:rowOff>133985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3690" y="11758295"/>
          <a:ext cx="1372235" cy="1583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239395</xdr:colOff>
      <xdr:row>46</xdr:row>
      <xdr:rowOff>167640</xdr:rowOff>
    </xdr:from>
    <xdr:to>
      <xdr:col>16</xdr:col>
      <xdr:colOff>514985</xdr:colOff>
      <xdr:row>50</xdr:row>
      <xdr:rowOff>142240</xdr:rowOff>
    </xdr:to>
    <xdr:pic>
      <xdr:nvPicPr>
        <xdr:cNvPr id="5" name="Picture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59720" y="11851640"/>
          <a:ext cx="2018665" cy="99060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13</xdr:col>
      <xdr:colOff>227330</xdr:colOff>
      <xdr:row>50</xdr:row>
      <xdr:rowOff>116840</xdr:rowOff>
    </xdr:from>
    <xdr:ext cx="2081530" cy="368300"/>
    <xdr:sp macro="" textlink="">
      <xdr:nvSpPr>
        <xdr:cNvPr id="6" name="TextBox 4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0447655" y="12816840"/>
          <a:ext cx="2081530" cy="36830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rgbClr val="FFFF00"/>
              </a:solidFill>
            </a:rPr>
            <a:t>编号，码数，生产号码</a:t>
          </a:r>
          <a:endParaRPr lang="en-US" sz="1400">
            <a:solidFill>
              <a:srgbClr val="FFFF00"/>
            </a:solidFill>
          </a:endParaRPr>
        </a:p>
      </xdr:txBody>
    </xdr:sp>
    <xdr:clientData/>
  </xdr:oneCellAnchor>
  <xdr:twoCellAnchor>
    <xdr:from>
      <xdr:col>5</xdr:col>
      <xdr:colOff>316865</xdr:colOff>
      <xdr:row>52</xdr:row>
      <xdr:rowOff>180340</xdr:rowOff>
    </xdr:from>
    <xdr:to>
      <xdr:col>11</xdr:col>
      <xdr:colOff>287655</xdr:colOff>
      <xdr:row>60</xdr:row>
      <xdr:rowOff>88265</xdr:rowOff>
    </xdr:to>
    <xdr:grpSp>
      <xdr:nvGrpSpPr>
        <xdr:cNvPr id="7" name="Group 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5888990" y="12562840"/>
          <a:ext cx="3399790" cy="1812925"/>
          <a:chOff x="6693" y="22449"/>
          <a:chExt cx="6843" cy="2073"/>
        </a:xfrm>
      </xdr:grpSpPr>
      <xdr:pic>
        <xdr:nvPicPr>
          <xdr:cNvPr id="8" name="Picture 10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693" y="22460"/>
            <a:ext cx="2685" cy="2062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9" name="Picture 12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9799" y="22449"/>
            <a:ext cx="2891" cy="2073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10" name="TextBox 48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10164" y="22884"/>
            <a:ext cx="3373" cy="851"/>
          </a:xfrm>
          <a:prstGeom prst="rect">
            <a:avLst/>
          </a:prstGeom>
          <a:solidFill>
            <a:schemeClr val="tx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200" b="0" i="0" u="none" strike="noStrike">
                <a:solidFill>
                  <a:srgbClr val="FFFF00"/>
                </a:solidFill>
                <a:effectLst/>
                <a:latin typeface="+mn-lt"/>
                <a:ea typeface="+mn-ea"/>
                <a:cs typeface="+mn-cs"/>
              </a:rPr>
              <a:t>请用</a:t>
            </a:r>
            <a:r>
              <a:rPr lang="en-US" sz="1200" b="0" i="0" u="none" strike="noStrike">
                <a:solidFill>
                  <a:srgbClr val="FFFF00"/>
                </a:solidFill>
                <a:effectLst/>
                <a:latin typeface="+mn-lt"/>
                <a:ea typeface="+mn-ea"/>
                <a:cs typeface="+mn-cs"/>
              </a:rPr>
              <a:t>LTA</a:t>
            </a:r>
            <a:r>
              <a:rPr lang="zh-CN" altLang="en-US" sz="1200" b="0" i="0" u="none" strike="noStrike">
                <a:solidFill>
                  <a:srgbClr val="FFFF00"/>
                </a:solidFill>
                <a:effectLst/>
                <a:latin typeface="+mn-lt"/>
                <a:ea typeface="+mn-ea"/>
                <a:cs typeface="+mn-cs"/>
              </a:rPr>
              <a:t>胶带封箱</a:t>
            </a:r>
            <a:r>
              <a:rPr lang="zh-CN" altLang="en-US" sz="1200">
                <a:solidFill>
                  <a:srgbClr val="FFFF00"/>
                </a:solidFill>
              </a:rPr>
              <a:t> 。</a:t>
            </a:r>
            <a:r>
              <a:rPr lang="zh-CN" altLang="en-US" sz="1200" b="0" i="0" u="none" strike="noStrike">
                <a:solidFill>
                  <a:srgbClr val="FFFF00"/>
                </a:solidFill>
                <a:effectLst/>
                <a:latin typeface="+mn-lt"/>
                <a:ea typeface="+mn-ea"/>
                <a:cs typeface="+mn-cs"/>
              </a:rPr>
              <a:t>请看图片</a:t>
            </a:r>
            <a:endParaRPr lang="en-US" sz="1200">
              <a:solidFill>
                <a:srgbClr val="FFFF00"/>
              </a:solidFill>
            </a:endParaRPr>
          </a:p>
        </xdr:txBody>
      </xdr:sp>
    </xdr:grpSp>
    <xdr:clientData/>
  </xdr:twoCellAnchor>
  <xdr:twoCellAnchor editAs="oneCell">
    <xdr:from>
      <xdr:col>19</xdr:col>
      <xdr:colOff>540385</xdr:colOff>
      <xdr:row>53</xdr:row>
      <xdr:rowOff>138430</xdr:rowOff>
    </xdr:from>
    <xdr:to>
      <xdr:col>22</xdr:col>
      <xdr:colOff>108585</xdr:colOff>
      <xdr:row>60</xdr:row>
      <xdr:rowOff>48260</xdr:rowOff>
    </xdr:to>
    <xdr:pic>
      <xdr:nvPicPr>
        <xdr:cNvPr id="11" name="Picture 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246860" y="13600430"/>
          <a:ext cx="1311275" cy="1687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275590</xdr:colOff>
      <xdr:row>55</xdr:row>
      <xdr:rowOff>0</xdr:rowOff>
    </xdr:from>
    <xdr:to>
      <xdr:col>16</xdr:col>
      <xdr:colOff>268605</xdr:colOff>
      <xdr:row>59</xdr:row>
      <xdr:rowOff>214630</xdr:rowOff>
    </xdr:to>
    <xdr:pic>
      <xdr:nvPicPr>
        <xdr:cNvPr id="12" name="Picture 114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95915" y="13970000"/>
          <a:ext cx="1736090" cy="1230630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25</xdr:col>
      <xdr:colOff>580390</xdr:colOff>
      <xdr:row>47</xdr:row>
      <xdr:rowOff>44450</xdr:rowOff>
    </xdr:from>
    <xdr:to>
      <xdr:col>28</xdr:col>
      <xdr:colOff>224790</xdr:colOff>
      <xdr:row>50</xdr:row>
      <xdr:rowOff>174625</xdr:rowOff>
    </xdr:to>
    <xdr:pic>
      <xdr:nvPicPr>
        <xdr:cNvPr id="13" name="Pictur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773015" y="11982450"/>
          <a:ext cx="1920875" cy="892175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26</xdr:col>
      <xdr:colOff>534035</xdr:colOff>
      <xdr:row>52</xdr:row>
      <xdr:rowOff>41275</xdr:rowOff>
    </xdr:from>
    <xdr:to>
      <xdr:col>27</xdr:col>
      <xdr:colOff>918210</xdr:colOff>
      <xdr:row>59</xdr:row>
      <xdr:rowOff>116205</xdr:rowOff>
    </xdr:to>
    <xdr:pic>
      <xdr:nvPicPr>
        <xdr:cNvPr id="14" name="Picture 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307685" y="13249275"/>
          <a:ext cx="965200" cy="1852930"/>
        </a:xfrm>
        <a:prstGeom prst="rect">
          <a:avLst/>
        </a:prstGeom>
        <a:noFill/>
        <a:ln w="1">
          <a:noFill/>
        </a:ln>
      </xdr:spPr>
    </xdr:pic>
    <xdr:clientData/>
  </xdr:twoCellAnchor>
  <xdr:twoCellAnchor>
    <xdr:from>
      <xdr:col>0</xdr:col>
      <xdr:colOff>748030</xdr:colOff>
      <xdr:row>47</xdr:row>
      <xdr:rowOff>0</xdr:rowOff>
    </xdr:from>
    <xdr:to>
      <xdr:col>3</xdr:col>
      <xdr:colOff>390525</xdr:colOff>
      <xdr:row>60</xdr:row>
      <xdr:rowOff>0</xdr:rowOff>
    </xdr:to>
    <xdr:grpSp>
      <xdr:nvGrpSpPr>
        <xdr:cNvPr id="15" name="Group 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748030" y="11191875"/>
          <a:ext cx="4071620" cy="3095625"/>
          <a:chOff x="-13" y="20205"/>
          <a:chExt cx="6264" cy="4118"/>
        </a:xfrm>
      </xdr:grpSpPr>
      <xdr:pic>
        <xdr:nvPicPr>
          <xdr:cNvPr id="16" name="Picture 6" descr="foto box shoes 30th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-13" y="20205"/>
            <a:ext cx="6265" cy="4118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17" name="Oval 51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4647" y="21868"/>
            <a:ext cx="802" cy="468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</xdr:grpSp>
    <xdr:clientData/>
  </xdr:twoCellAnchor>
  <xdr:twoCellAnchor>
    <xdr:from>
      <xdr:col>5</xdr:col>
      <xdr:colOff>646430</xdr:colOff>
      <xdr:row>46</xdr:row>
      <xdr:rowOff>76200</xdr:rowOff>
    </xdr:from>
    <xdr:to>
      <xdr:col>10</xdr:col>
      <xdr:colOff>647700</xdr:colOff>
      <xdr:row>52</xdr:row>
      <xdr:rowOff>108585</xdr:rowOff>
    </xdr:to>
    <xdr:grpSp>
      <xdr:nvGrpSpPr>
        <xdr:cNvPr id="18" name="Group 5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6151880" y="11029950"/>
          <a:ext cx="2858770" cy="1461135"/>
          <a:chOff x="-13" y="20205"/>
          <a:chExt cx="6264" cy="4118"/>
        </a:xfrm>
      </xdr:grpSpPr>
      <xdr:pic>
        <xdr:nvPicPr>
          <xdr:cNvPr id="19" name="Picture 6" descr="foto box shoes 30th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-13" y="20205"/>
            <a:ext cx="6265" cy="4118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20" name="Oval 51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4647" y="21868"/>
            <a:ext cx="802" cy="468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</xdr:grpSp>
    <xdr:clientData/>
  </xdr:twoCellAnchor>
  <xdr:twoCellAnchor>
    <xdr:from>
      <xdr:col>1</xdr:col>
      <xdr:colOff>366395</xdr:colOff>
      <xdr:row>24</xdr:row>
      <xdr:rowOff>76835</xdr:rowOff>
    </xdr:from>
    <xdr:to>
      <xdr:col>3</xdr:col>
      <xdr:colOff>172085</xdr:colOff>
      <xdr:row>27</xdr:row>
      <xdr:rowOff>173355</xdr:rowOff>
    </xdr:to>
    <xdr:sp macro="" textlink="">
      <xdr:nvSpPr>
        <xdr:cNvPr id="23" name="AutoShape 5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rrowheads="1"/>
        </xdr:cNvSpPr>
      </xdr:nvSpPr>
      <xdr:spPr>
        <a:xfrm>
          <a:off x="2547620" y="6172835"/>
          <a:ext cx="2034540" cy="858520"/>
        </a:xfrm>
        <a:prstGeom prst="triangle">
          <a:avLst>
            <a:gd name="adj" fmla="val 50000"/>
          </a:avLst>
        </a:prstGeom>
        <a:solidFill>
          <a:srgbClr val="FFFFFF"/>
        </a:solidFill>
        <a:ln w="25400" algn="ctr">
          <a:solidFill>
            <a:srgbClr val="4F81BD"/>
          </a:solidFill>
          <a:miter lim="800000"/>
        </a:ln>
      </xdr:spPr>
      <xdr:txBody>
        <a:bodyPr vertOverflow="clip" wrap="square" lIns="27432" tIns="27432" rIns="0" bIns="0" anchor="t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200"/>
            </a:lnSpc>
            <a:defRPr sz="1000"/>
          </a:pPr>
          <a:r>
            <a:rPr lang="en-US" altLang="en-GB" sz="1200" b="1">
              <a:solidFill>
                <a:srgbClr val="000000"/>
              </a:solidFill>
              <a:latin typeface="Arial" panose="020B0604020202020204"/>
              <a:cs typeface="Arial" panose="020B0604020202020204"/>
              <a:sym typeface="+mn-ea"/>
            </a:rPr>
            <a:t>VL-MKS </a:t>
          </a:r>
          <a:br>
            <a:rPr lang="en-US" altLang="en-GB" sz="1200" b="1">
              <a:solidFill>
                <a:srgbClr val="000000"/>
              </a:solidFill>
              <a:latin typeface="Arial" panose="020B0604020202020204"/>
              <a:cs typeface="Arial" panose="020B0604020202020204"/>
              <a:sym typeface="+mn-ea"/>
            </a:rPr>
          </a:br>
          <a:r>
            <a:rPr lang="en-US" altLang="en-GB" sz="1200" b="1">
              <a:solidFill>
                <a:srgbClr val="000000"/>
              </a:solidFill>
              <a:latin typeface="Arial" panose="020B0604020202020204"/>
              <a:cs typeface="Arial" panose="020B0604020202020204"/>
              <a:sym typeface="+mn-ea"/>
            </a:rPr>
            <a:t>
</a:t>
          </a:r>
          <a:endParaRPr lang="en-US" sz="11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E61"/>
  <sheetViews>
    <sheetView tabSelected="1" zoomScale="40" zoomScaleNormal="55" workbookViewId="0">
      <selection activeCell="E3" sqref="E3"/>
    </sheetView>
  </sheetViews>
  <sheetFormatPr defaultColWidth="9.140625" defaultRowHeight="15"/>
  <cols>
    <col min="1" max="1" width="32.7109375" customWidth="1"/>
    <col min="2" max="3" width="16.7109375" customWidth="1"/>
    <col min="4" max="27" width="8.7109375" customWidth="1"/>
    <col min="28" max="29" width="16.7109375" customWidth="1"/>
    <col min="30" max="30" width="8.7109375" customWidth="1"/>
  </cols>
  <sheetData>
    <row r="1" spans="1:31" ht="20.100000000000001" customHeight="1">
      <c r="A1" s="151" t="s">
        <v>0</v>
      </c>
      <c r="B1" s="151"/>
      <c r="C1" s="151"/>
      <c r="D1" s="33"/>
      <c r="E1" s="34"/>
      <c r="F1" s="34"/>
      <c r="G1" s="34"/>
      <c r="H1" s="35"/>
      <c r="I1" s="35"/>
      <c r="J1" s="35"/>
      <c r="K1" s="33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152" t="s">
        <v>1</v>
      </c>
      <c r="Y1" s="152"/>
      <c r="Z1" s="152"/>
      <c r="AA1" s="152"/>
      <c r="AB1" s="152"/>
      <c r="AC1" s="152"/>
      <c r="AD1" s="36"/>
      <c r="AE1" s="35"/>
    </row>
    <row r="2" spans="1:31" ht="20.100000000000001" customHeight="1">
      <c r="A2" s="37" t="s">
        <v>2</v>
      </c>
      <c r="B2" s="38" t="s">
        <v>130</v>
      </c>
      <c r="C2" s="39"/>
      <c r="D2" s="40"/>
      <c r="E2" s="41"/>
      <c r="F2" s="41"/>
      <c r="G2" s="41"/>
      <c r="H2" s="35"/>
      <c r="I2" s="35"/>
      <c r="J2" s="35"/>
      <c r="K2" s="41"/>
      <c r="L2" s="153" t="s">
        <v>3</v>
      </c>
      <c r="M2" s="153"/>
      <c r="N2" s="153"/>
      <c r="O2" s="153"/>
      <c r="P2" s="153"/>
      <c r="Q2" s="35"/>
      <c r="R2" s="35"/>
      <c r="S2" s="35"/>
      <c r="T2" s="35"/>
      <c r="U2" s="35"/>
      <c r="V2" s="35"/>
      <c r="W2" s="35"/>
      <c r="X2" s="154" t="s">
        <v>4</v>
      </c>
      <c r="Y2" s="154"/>
      <c r="Z2" s="154"/>
      <c r="AA2" s="154"/>
      <c r="AB2" s="154"/>
      <c r="AC2" s="154"/>
      <c r="AD2" s="36"/>
      <c r="AE2" s="35"/>
    </row>
    <row r="3" spans="1:31" ht="20.100000000000001" customHeight="1">
      <c r="A3" s="42"/>
      <c r="B3" s="43"/>
      <c r="C3" s="44"/>
      <c r="D3" s="45"/>
      <c r="E3" s="35"/>
      <c r="F3" s="35"/>
      <c r="G3" s="35"/>
      <c r="H3" s="35"/>
      <c r="I3" s="35"/>
      <c r="J3" s="35"/>
      <c r="K3" s="35"/>
      <c r="L3" s="155" t="s">
        <v>5</v>
      </c>
      <c r="M3" s="155"/>
      <c r="N3" s="155"/>
      <c r="O3" s="155"/>
      <c r="P3" s="155"/>
      <c r="Q3" s="35"/>
      <c r="R3" s="35"/>
      <c r="S3" s="35"/>
      <c r="T3" s="35"/>
      <c r="U3" s="35"/>
      <c r="V3" s="35"/>
      <c r="W3" s="35"/>
      <c r="X3" s="156" t="s">
        <v>6</v>
      </c>
      <c r="Y3" s="156"/>
      <c r="Z3" s="156"/>
      <c r="AA3" s="156"/>
      <c r="AB3" s="156"/>
      <c r="AC3" s="156"/>
      <c r="AD3" s="36"/>
      <c r="AE3" s="35"/>
    </row>
    <row r="4" spans="1:31" ht="20.100000000000001" customHeight="1">
      <c r="A4" s="42" t="s">
        <v>7</v>
      </c>
      <c r="B4" s="46" t="s">
        <v>131</v>
      </c>
      <c r="C4" s="47"/>
      <c r="D4" s="45"/>
      <c r="E4" s="35"/>
      <c r="F4" s="35"/>
      <c r="G4" s="35"/>
      <c r="H4" s="35"/>
      <c r="I4" s="35"/>
      <c r="J4" s="35"/>
      <c r="K4" s="35"/>
      <c r="L4" s="155" t="s">
        <v>132</v>
      </c>
      <c r="M4" s="155"/>
      <c r="N4" s="155"/>
      <c r="O4" s="155"/>
      <c r="P4" s="155"/>
      <c r="Q4" s="35"/>
      <c r="R4" s="35"/>
      <c r="S4" s="35"/>
      <c r="T4" s="35"/>
      <c r="U4" s="35"/>
      <c r="V4" s="35"/>
      <c r="W4" s="35"/>
      <c r="X4" s="157" t="s">
        <v>8</v>
      </c>
      <c r="Y4" s="157"/>
      <c r="Z4" s="157"/>
      <c r="AA4" s="157"/>
      <c r="AB4" s="157"/>
      <c r="AC4" s="157"/>
      <c r="AD4" s="36"/>
      <c r="AE4" s="35"/>
    </row>
    <row r="5" spans="1:31" ht="20.100000000000001" customHeight="1">
      <c r="A5" s="42" t="s">
        <v>9</v>
      </c>
      <c r="B5" s="158" t="s">
        <v>10</v>
      </c>
      <c r="C5" s="159"/>
      <c r="D5" s="49"/>
      <c r="E5" s="35"/>
      <c r="F5" s="35"/>
      <c r="G5" s="35"/>
      <c r="H5" s="35"/>
      <c r="I5" s="35"/>
      <c r="J5" s="35"/>
      <c r="K5" s="35"/>
      <c r="L5" s="155" t="s">
        <v>133</v>
      </c>
      <c r="M5" s="155"/>
      <c r="N5" s="155"/>
      <c r="O5" s="155"/>
      <c r="P5" s="155"/>
      <c r="Q5" s="35"/>
      <c r="R5" s="35"/>
      <c r="S5" s="35"/>
      <c r="T5" s="35"/>
      <c r="U5" s="35"/>
      <c r="V5" s="35"/>
      <c r="W5" s="35"/>
      <c r="X5" s="157" t="s">
        <v>11</v>
      </c>
      <c r="Y5" s="157"/>
      <c r="Z5" s="157"/>
      <c r="AA5" s="157"/>
      <c r="AB5" s="157"/>
      <c r="AC5" s="157"/>
      <c r="AD5" s="36"/>
      <c r="AE5" s="35"/>
    </row>
    <row r="6" spans="1:31" ht="20.100000000000001" customHeight="1">
      <c r="A6" s="50"/>
      <c r="B6" s="160"/>
      <c r="C6" s="161"/>
      <c r="D6" s="49"/>
      <c r="E6" s="35"/>
      <c r="F6" s="35"/>
      <c r="G6" s="35"/>
      <c r="H6" s="35"/>
      <c r="I6" s="35"/>
      <c r="J6" s="35"/>
      <c r="K6" s="35"/>
      <c r="L6" s="35"/>
      <c r="M6" s="35"/>
      <c r="N6" s="51"/>
      <c r="O6" s="51"/>
      <c r="P6" s="51"/>
      <c r="Q6" s="51"/>
      <c r="R6" s="35"/>
      <c r="S6" s="51"/>
      <c r="T6" s="51"/>
      <c r="U6" s="51"/>
      <c r="V6" s="51"/>
      <c r="W6" s="51"/>
      <c r="X6" s="51"/>
      <c r="Y6" s="51"/>
      <c r="Z6" s="51"/>
      <c r="AA6" s="51"/>
      <c r="AB6" s="51"/>
      <c r="AC6" s="48"/>
      <c r="AD6" s="52"/>
      <c r="AE6" s="36"/>
    </row>
    <row r="7" spans="1:31" ht="20.100000000000001" customHeight="1">
      <c r="A7" s="35"/>
      <c r="B7" s="35"/>
      <c r="C7" s="35"/>
      <c r="D7" s="45"/>
      <c r="E7" s="35"/>
      <c r="F7" s="35"/>
      <c r="G7" s="35"/>
      <c r="H7" s="35"/>
      <c r="I7" s="35"/>
      <c r="J7" s="4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53"/>
      <c r="AB7" s="53"/>
      <c r="AC7" s="52"/>
      <c r="AD7" s="36"/>
      <c r="AE7" s="35"/>
    </row>
    <row r="8" spans="1:31" ht="20.100000000000001" customHeight="1">
      <c r="A8" s="244" t="s">
        <v>12</v>
      </c>
      <c r="B8" s="232" t="s">
        <v>13</v>
      </c>
      <c r="C8" s="232" t="s">
        <v>14</v>
      </c>
      <c r="D8" s="238" t="s">
        <v>15</v>
      </c>
      <c r="E8" s="239"/>
      <c r="F8" s="162" t="s">
        <v>16</v>
      </c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4"/>
      <c r="Y8" s="256" t="s">
        <v>17</v>
      </c>
      <c r="Z8" s="259" t="s">
        <v>18</v>
      </c>
      <c r="AA8" s="262" t="s">
        <v>19</v>
      </c>
      <c r="AB8" s="265" t="s">
        <v>20</v>
      </c>
      <c r="AC8" s="236" t="s">
        <v>21</v>
      </c>
      <c r="AD8" s="36"/>
      <c r="AE8" s="35"/>
    </row>
    <row r="9" spans="1:31" ht="20.100000000000001" customHeight="1">
      <c r="A9" s="245"/>
      <c r="B9" s="233"/>
      <c r="C9" s="233"/>
      <c r="D9" s="240"/>
      <c r="E9" s="241"/>
      <c r="F9" s="234" t="s">
        <v>22</v>
      </c>
      <c r="G9" s="168" t="s">
        <v>23</v>
      </c>
      <c r="H9" s="168" t="s">
        <v>24</v>
      </c>
      <c r="I9" s="168" t="s">
        <v>25</v>
      </c>
      <c r="J9" s="168" t="s">
        <v>26</v>
      </c>
      <c r="K9" s="168" t="s">
        <v>27</v>
      </c>
      <c r="L9" s="168" t="s">
        <v>28</v>
      </c>
      <c r="M9" s="168" t="s">
        <v>29</v>
      </c>
      <c r="N9" s="168" t="s">
        <v>30</v>
      </c>
      <c r="O9" s="168" t="s">
        <v>31</v>
      </c>
      <c r="P9" s="168" t="s">
        <v>32</v>
      </c>
      <c r="Q9" s="168" t="s">
        <v>33</v>
      </c>
      <c r="R9" s="168" t="s">
        <v>34</v>
      </c>
      <c r="S9" s="168" t="s">
        <v>35</v>
      </c>
      <c r="T9" s="168" t="s">
        <v>36</v>
      </c>
      <c r="U9" s="168" t="s">
        <v>37</v>
      </c>
      <c r="V9" s="168" t="s">
        <v>38</v>
      </c>
      <c r="W9" s="168" t="s">
        <v>39</v>
      </c>
      <c r="X9" s="171" t="s">
        <v>40</v>
      </c>
      <c r="Y9" s="257"/>
      <c r="Z9" s="260"/>
      <c r="AA9" s="263"/>
      <c r="AB9" s="266"/>
      <c r="AC9" s="237"/>
      <c r="AD9" s="36"/>
      <c r="AE9" s="35"/>
    </row>
    <row r="10" spans="1:31" ht="20.100000000000001" customHeight="1">
      <c r="A10" s="246"/>
      <c r="B10" s="54" t="s">
        <v>41</v>
      </c>
      <c r="C10" s="54" t="s">
        <v>42</v>
      </c>
      <c r="D10" s="242"/>
      <c r="E10" s="243"/>
      <c r="F10" s="235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70"/>
      <c r="T10" s="170"/>
      <c r="U10" s="170"/>
      <c r="V10" s="170"/>
      <c r="W10" s="170"/>
      <c r="X10" s="172"/>
      <c r="Y10" s="258"/>
      <c r="Z10" s="261"/>
      <c r="AA10" s="264"/>
      <c r="AB10" s="55" t="s">
        <v>43</v>
      </c>
      <c r="AC10" s="56" t="s">
        <v>43</v>
      </c>
      <c r="AD10" s="36"/>
      <c r="AE10" s="35"/>
    </row>
    <row r="11" spans="1:31" ht="20.100000000000001" customHeight="1">
      <c r="A11" s="230" t="s">
        <v>134</v>
      </c>
      <c r="B11" s="57" t="s">
        <v>136</v>
      </c>
      <c r="C11" s="57" t="s">
        <v>135</v>
      </c>
      <c r="D11" s="165" t="s">
        <v>142</v>
      </c>
      <c r="E11" s="152"/>
      <c r="F11" s="58">
        <f>'PACKING LIST'!K5</f>
        <v>0</v>
      </c>
      <c r="G11" s="59">
        <f>'PACKING LIST'!K8</f>
        <v>0</v>
      </c>
      <c r="H11" s="59">
        <f>'PACKING LIST'!K11</f>
        <v>0</v>
      </c>
      <c r="I11" s="59">
        <f>'PACKING LIST'!K14</f>
        <v>0</v>
      </c>
      <c r="J11" s="59">
        <f>'PACKING LIST'!K17</f>
        <v>0</v>
      </c>
      <c r="K11" s="59">
        <f>'PACKING LIST'!K20</f>
        <v>0</v>
      </c>
      <c r="L11" s="59">
        <f>'PACKING LIST'!K23</f>
        <v>0</v>
      </c>
      <c r="M11" s="59">
        <f>'PACKING LIST'!K26</f>
        <v>0</v>
      </c>
      <c r="N11" s="59">
        <f>'PACKING LIST'!K29</f>
        <v>0</v>
      </c>
      <c r="O11" s="59">
        <f>'PACKING LIST'!K32</f>
        <v>0</v>
      </c>
      <c r="P11" s="59">
        <f>'PACKING LIST'!K35</f>
        <v>0</v>
      </c>
      <c r="Q11" s="59">
        <f>'PACKING LIST'!K48</f>
        <v>0</v>
      </c>
      <c r="R11" s="59">
        <f>'PACKING LIST'!K41</f>
        <v>0</v>
      </c>
      <c r="S11" s="59">
        <f>'PACKING LIST'!K44</f>
        <v>0</v>
      </c>
      <c r="T11" s="59">
        <f>'PACKING LIST'!K47</f>
        <v>0</v>
      </c>
      <c r="U11" s="59">
        <f>'PACKING LIST'!K50</f>
        <v>0</v>
      </c>
      <c r="V11" s="59">
        <f>'PACKING LIST'!K53</f>
        <v>0</v>
      </c>
      <c r="W11" s="59">
        <f>'PACKING LIST'!K56</f>
        <v>0</v>
      </c>
      <c r="X11" s="60">
        <f>'PACKING LIST'!K59</f>
        <v>0</v>
      </c>
      <c r="Y11" s="61">
        <f>SUM(F11:L11)+SUM(R11:V11)/2</f>
        <v>0</v>
      </c>
      <c r="Z11" s="62">
        <f t="shared" ref="Z11:Z14" si="0">SUM(M11:Q11)+SUM(W11:X11)/2</f>
        <v>0</v>
      </c>
      <c r="AA11" s="63">
        <f t="shared" ref="AA11:AA14" si="1">SUM(F11:L11)*12+SUM(M11:Q11)*8+SUM(R11:V11)*6+SUM(W11:X11)*4</f>
        <v>0</v>
      </c>
      <c r="AB11" s="64">
        <v>16.57</v>
      </c>
      <c r="AC11" s="65">
        <f t="shared" ref="AC11:AC14" si="2">AB11*AA11</f>
        <v>0</v>
      </c>
      <c r="AD11" s="51"/>
      <c r="AE11" s="51"/>
    </row>
    <row r="12" spans="1:31" ht="20.100000000000001" customHeight="1">
      <c r="A12" s="231"/>
      <c r="B12" s="66"/>
      <c r="C12" s="67"/>
      <c r="D12" s="166" t="s">
        <v>143</v>
      </c>
      <c r="E12" s="167"/>
      <c r="F12" s="58">
        <f>'PACKING LIST'!X5</f>
        <v>0</v>
      </c>
      <c r="G12" s="59">
        <f>'PACKING LIST'!X8</f>
        <v>0</v>
      </c>
      <c r="H12" s="59">
        <f>'PACKING LIST'!X11</f>
        <v>0</v>
      </c>
      <c r="I12" s="59">
        <f>'PACKING LIST'!X14</f>
        <v>0</v>
      </c>
      <c r="J12" s="59">
        <f>'PACKING LIST'!X17</f>
        <v>0</v>
      </c>
      <c r="K12" s="59">
        <f>'PACKING LIST'!X20</f>
        <v>0</v>
      </c>
      <c r="L12" s="59">
        <f>'PACKING LIST'!X23</f>
        <v>0</v>
      </c>
      <c r="M12" s="59">
        <f>'PACKING LIST'!X26</f>
        <v>0</v>
      </c>
      <c r="N12" s="59">
        <f>'PACKING LIST'!X29</f>
        <v>0</v>
      </c>
      <c r="O12" s="59">
        <f>'PACKING LIST'!X32</f>
        <v>0</v>
      </c>
      <c r="P12" s="59">
        <f>'PACKING LIST'!X35</f>
        <v>0</v>
      </c>
      <c r="Q12" s="59">
        <f>'PACKING LIST'!X38</f>
        <v>0</v>
      </c>
      <c r="R12" s="59">
        <f>'PACKING LIST'!X41</f>
        <v>0</v>
      </c>
      <c r="S12" s="59">
        <f>'PACKING LIST'!X44</f>
        <v>0</v>
      </c>
      <c r="T12" s="59">
        <f>'PACKING LIST'!X47</f>
        <v>0</v>
      </c>
      <c r="U12" s="59">
        <f>'PACKING LIST'!X50</f>
        <v>0</v>
      </c>
      <c r="V12" s="59">
        <f>'PACKING LIST'!X53</f>
        <v>0</v>
      </c>
      <c r="W12" s="59">
        <f>'PACKING LIST'!X56</f>
        <v>0</v>
      </c>
      <c r="X12" s="60">
        <f>'PACKING LIST'!X59</f>
        <v>0</v>
      </c>
      <c r="Y12" s="61">
        <f>SUM(F12:L12)+SUM(R12:V12)/2</f>
        <v>0</v>
      </c>
      <c r="Z12" s="62">
        <f t="shared" si="0"/>
        <v>0</v>
      </c>
      <c r="AA12" s="63">
        <f t="shared" si="1"/>
        <v>0</v>
      </c>
      <c r="AB12" s="64">
        <v>16.57</v>
      </c>
      <c r="AC12" s="65">
        <f t="shared" si="2"/>
        <v>0</v>
      </c>
      <c r="AD12" s="51"/>
      <c r="AE12" s="51"/>
    </row>
    <row r="13" spans="1:31" ht="20.100000000000001" customHeight="1">
      <c r="A13" s="69" t="s">
        <v>137</v>
      </c>
      <c r="B13" s="70"/>
      <c r="C13" s="70"/>
      <c r="D13" s="166"/>
      <c r="E13" s="167"/>
      <c r="F13" s="71">
        <f>'PACKING LIST'!K69</f>
        <v>0</v>
      </c>
      <c r="G13" s="72">
        <f>'PACKING LIST'!K72</f>
        <v>0</v>
      </c>
      <c r="H13" s="72">
        <f>'PACKING LIST'!K75</f>
        <v>0</v>
      </c>
      <c r="I13" s="72">
        <f>'PACKING LIST'!K78</f>
        <v>0</v>
      </c>
      <c r="J13" s="72">
        <f>'PACKING LIST'!K81</f>
        <v>0</v>
      </c>
      <c r="K13" s="72">
        <f>'PACKING LIST'!K84</f>
        <v>0</v>
      </c>
      <c r="L13" s="72">
        <f>'PACKING LIST'!K87</f>
        <v>0</v>
      </c>
      <c r="M13" s="72">
        <f>'PACKING LIST'!K90</f>
        <v>0</v>
      </c>
      <c r="N13" s="72">
        <f>'PACKING LIST'!K93</f>
        <v>0</v>
      </c>
      <c r="O13" s="72">
        <f>'PACKING LIST'!K96</f>
        <v>0</v>
      </c>
      <c r="P13" s="72">
        <f>'PACKING LIST'!K99</f>
        <v>0</v>
      </c>
      <c r="Q13" s="72">
        <f>'PACKING LIST'!K102</f>
        <v>0</v>
      </c>
      <c r="R13" s="72">
        <f>'PACKING LIST'!K105</f>
        <v>0</v>
      </c>
      <c r="S13" s="72">
        <f>'PACKING LIST'!K108</f>
        <v>0</v>
      </c>
      <c r="T13" s="59">
        <f>'PACKING LIST'!K111</f>
        <v>0</v>
      </c>
      <c r="U13" s="59">
        <f>'PACKING LIST'!K114</f>
        <v>0</v>
      </c>
      <c r="V13" s="59">
        <f>'PACKING LIST'!K117</f>
        <v>0</v>
      </c>
      <c r="W13" s="59">
        <f>'PACKING LIST'!K120</f>
        <v>0</v>
      </c>
      <c r="X13" s="60">
        <f>'PACKING LIST'!K123</f>
        <v>0</v>
      </c>
      <c r="Y13" s="61">
        <f>SUM(F13:L13)+SUM(S13:V13)/2</f>
        <v>0</v>
      </c>
      <c r="Z13" s="62">
        <f t="shared" si="0"/>
        <v>0</v>
      </c>
      <c r="AA13" s="63">
        <f t="shared" si="1"/>
        <v>0</v>
      </c>
      <c r="AB13" s="64">
        <v>0</v>
      </c>
      <c r="AC13" s="65">
        <f t="shared" si="2"/>
        <v>0</v>
      </c>
      <c r="AD13" s="51"/>
      <c r="AE13" s="51"/>
    </row>
    <row r="14" spans="1:31" ht="20.100000000000001" customHeight="1">
      <c r="A14" s="73" t="s">
        <v>138</v>
      </c>
      <c r="B14" s="68"/>
      <c r="C14" s="67"/>
      <c r="D14" s="166"/>
      <c r="E14" s="167"/>
      <c r="F14" s="58">
        <f>'PACKING LIST'!X69</f>
        <v>0</v>
      </c>
      <c r="G14" s="72">
        <f>'PACKING LIST'!X72</f>
        <v>0</v>
      </c>
      <c r="H14" s="72">
        <f>'PACKING LIST'!X75</f>
        <v>0</v>
      </c>
      <c r="I14" s="72">
        <f>'PACKING LIST'!X78</f>
        <v>0</v>
      </c>
      <c r="J14" s="72">
        <f>'PACKING LIST'!X81</f>
        <v>0</v>
      </c>
      <c r="K14" s="72">
        <f>'PACKING LIST'!X84</f>
        <v>0</v>
      </c>
      <c r="L14" s="72">
        <f>'PACKING LIST'!X87</f>
        <v>0</v>
      </c>
      <c r="M14" s="72">
        <f>'PACKING LIST'!X90</f>
        <v>0</v>
      </c>
      <c r="N14" s="72">
        <f>'PACKING LIST'!X93</f>
        <v>0</v>
      </c>
      <c r="O14" s="72">
        <f>'PACKING LIST'!X96</f>
        <v>0</v>
      </c>
      <c r="P14" s="72">
        <f>'PACKING LIST'!X99</f>
        <v>0</v>
      </c>
      <c r="Q14" s="72">
        <f>'PACKING LIST'!X102</f>
        <v>0</v>
      </c>
      <c r="R14" s="72">
        <f>'PACKING LIST'!X105</f>
        <v>0</v>
      </c>
      <c r="S14" s="72">
        <f>'PACKING LIST'!X108</f>
        <v>0</v>
      </c>
      <c r="T14" s="59">
        <f>'PACKING LIST'!X111</f>
        <v>0</v>
      </c>
      <c r="U14" s="59">
        <f>'PACKING LIST'!X114</f>
        <v>0</v>
      </c>
      <c r="V14" s="59">
        <f>'PACKING LIST'!X117</f>
        <v>0</v>
      </c>
      <c r="W14" s="59">
        <f>'PACKING LIST'!X120</f>
        <v>0</v>
      </c>
      <c r="X14" s="60">
        <f>'PACKING LIST'!X124</f>
        <v>0</v>
      </c>
      <c r="Y14" s="61">
        <f>SUM(F14:L14)+SUM(S14:V14)/2</f>
        <v>0</v>
      </c>
      <c r="Z14" s="62">
        <f t="shared" si="0"/>
        <v>0</v>
      </c>
      <c r="AA14" s="63">
        <f t="shared" si="1"/>
        <v>0</v>
      </c>
      <c r="AB14" s="74">
        <v>0</v>
      </c>
      <c r="AC14" s="65">
        <f t="shared" si="2"/>
        <v>0</v>
      </c>
      <c r="AD14" s="51"/>
      <c r="AE14" s="51"/>
    </row>
    <row r="15" spans="1:31" ht="20.100000000000001" customHeight="1">
      <c r="A15" s="73" t="s">
        <v>139</v>
      </c>
      <c r="B15" s="68"/>
      <c r="C15" s="67"/>
      <c r="D15" s="166"/>
      <c r="E15" s="167"/>
      <c r="F15" s="71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5"/>
      <c r="Y15" s="76"/>
      <c r="Z15" s="77"/>
      <c r="AA15" s="63"/>
      <c r="AB15" s="74"/>
      <c r="AC15" s="78"/>
      <c r="AD15" s="51"/>
      <c r="AE15" s="51"/>
    </row>
    <row r="16" spans="1:31" ht="20.100000000000001" customHeight="1">
      <c r="A16" s="73" t="s">
        <v>140</v>
      </c>
      <c r="B16" s="68"/>
      <c r="C16" s="67"/>
      <c r="D16" s="166"/>
      <c r="E16" s="167"/>
      <c r="F16" s="71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5"/>
      <c r="Y16" s="76"/>
      <c r="Z16" s="77"/>
      <c r="AA16" s="63"/>
      <c r="AB16" s="74"/>
      <c r="AC16" s="78"/>
      <c r="AD16" s="51"/>
      <c r="AE16" s="51"/>
    </row>
    <row r="17" spans="1:31" ht="20.100000000000001" customHeight="1">
      <c r="A17" s="79" t="s">
        <v>141</v>
      </c>
      <c r="B17" s="80"/>
      <c r="C17" s="81"/>
      <c r="D17" s="181"/>
      <c r="E17" s="182"/>
      <c r="F17" s="82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4"/>
      <c r="Y17" s="85"/>
      <c r="Z17" s="86"/>
      <c r="AA17" s="63"/>
      <c r="AB17" s="87"/>
      <c r="AC17" s="88"/>
      <c r="AD17" s="51"/>
      <c r="AE17" s="51"/>
    </row>
    <row r="18" spans="1:31" ht="20.100000000000001" customHeight="1">
      <c r="A18" s="89"/>
      <c r="B18" s="35"/>
      <c r="C18" s="89"/>
      <c r="D18" s="90"/>
      <c r="E18" s="91"/>
      <c r="F18" s="91"/>
      <c r="G18" s="91"/>
      <c r="H18" s="91"/>
      <c r="I18" s="91"/>
      <c r="J18" s="91"/>
      <c r="K18" s="91"/>
      <c r="L18" s="91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92">
        <f t="shared" ref="Y18:AA18" si="3">SUM(Y11:Y17)</f>
        <v>0</v>
      </c>
      <c r="Z18" s="93">
        <f t="shared" si="3"/>
        <v>0</v>
      </c>
      <c r="AA18" s="94">
        <f t="shared" si="3"/>
        <v>0</v>
      </c>
      <c r="AB18" s="95"/>
      <c r="AC18" s="96">
        <f>SUM(AC11:AC17)</f>
        <v>0</v>
      </c>
      <c r="AD18" s="36"/>
      <c r="AE18" s="35"/>
    </row>
    <row r="19" spans="1:31" ht="20.100000000000001" customHeight="1">
      <c r="A19" s="97" t="s">
        <v>44</v>
      </c>
      <c r="B19" s="189">
        <v>46209</v>
      </c>
      <c r="C19" s="189"/>
      <c r="D19" s="190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53"/>
      <c r="Z19" s="53"/>
      <c r="AA19" s="52"/>
      <c r="AB19" s="98"/>
      <c r="AC19" s="99"/>
      <c r="AD19" s="36"/>
      <c r="AE19" s="35"/>
    </row>
    <row r="20" spans="1:31" ht="20.100000000000001" customHeight="1">
      <c r="A20" s="100" t="s">
        <v>45</v>
      </c>
      <c r="B20" s="191"/>
      <c r="C20" s="191"/>
      <c r="D20" s="192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AC20" s="36"/>
      <c r="AD20" s="36"/>
      <c r="AE20" s="35"/>
    </row>
    <row r="21" spans="1:31" ht="20.100000000000001" customHeight="1">
      <c r="A21" s="101" t="s">
        <v>46</v>
      </c>
      <c r="B21" s="176"/>
      <c r="C21" s="176"/>
      <c r="D21" s="177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197" t="s">
        <v>14</v>
      </c>
      <c r="Q21" s="198"/>
      <c r="R21" s="199"/>
      <c r="S21" s="197" t="s">
        <v>47</v>
      </c>
      <c r="T21" s="198"/>
      <c r="U21" s="183" t="s">
        <v>48</v>
      </c>
      <c r="V21" s="184"/>
      <c r="W21" s="184"/>
      <c r="X21" s="184"/>
      <c r="Y21" s="184"/>
      <c r="Z21" s="184"/>
      <c r="AA21" s="185"/>
      <c r="AB21" s="267" t="s">
        <v>49</v>
      </c>
      <c r="AC21" s="36"/>
      <c r="AD21" s="36"/>
      <c r="AE21" s="35"/>
    </row>
    <row r="22" spans="1:31" ht="20.100000000000001" customHeight="1">
      <c r="A22" s="102" t="s">
        <v>50</v>
      </c>
      <c r="B22" s="156"/>
      <c r="C22" s="156"/>
      <c r="D22" s="178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200"/>
      <c r="Q22" s="201"/>
      <c r="R22" s="202"/>
      <c r="S22" s="203"/>
      <c r="T22" s="204"/>
      <c r="U22" s="103">
        <v>35</v>
      </c>
      <c r="V22" s="104">
        <f t="shared" ref="V22:AA22" si="4">U22+1</f>
        <v>36</v>
      </c>
      <c r="W22" s="104">
        <f t="shared" si="4"/>
        <v>37</v>
      </c>
      <c r="X22" s="104">
        <f t="shared" si="4"/>
        <v>38</v>
      </c>
      <c r="Y22" s="104">
        <f t="shared" si="4"/>
        <v>39</v>
      </c>
      <c r="Z22" s="104">
        <f t="shared" si="4"/>
        <v>40</v>
      </c>
      <c r="AA22" s="104">
        <f t="shared" si="4"/>
        <v>41</v>
      </c>
      <c r="AB22" s="268"/>
      <c r="AC22" s="36"/>
      <c r="AD22" s="36"/>
      <c r="AE22" s="35"/>
    </row>
    <row r="23" spans="1:31" ht="20.100000000000001" customHeight="1">
      <c r="A23" s="105" t="s">
        <v>51</v>
      </c>
      <c r="B23" s="193" t="s">
        <v>52</v>
      </c>
      <c r="C23" s="193"/>
      <c r="D23" s="194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247" t="str">
        <f>C11</f>
        <v>VEYLIN</v>
      </c>
      <c r="Q23" s="248"/>
      <c r="R23" s="249"/>
      <c r="S23" s="186" t="str">
        <f t="shared" ref="S23:S26" si="5">D11</f>
        <v>BLACK</v>
      </c>
      <c r="T23" s="186"/>
      <c r="U23" s="106">
        <f>'PACKING LIST'!B62</f>
        <v>0</v>
      </c>
      <c r="V23" s="107">
        <v>7</v>
      </c>
      <c r="W23" s="107">
        <v>13</v>
      </c>
      <c r="X23" s="107">
        <v>13</v>
      </c>
      <c r="Y23" s="107">
        <v>7</v>
      </c>
      <c r="Z23" s="107">
        <v>6</v>
      </c>
      <c r="AA23" s="108">
        <f>'PACKING LIST'!H62</f>
        <v>0</v>
      </c>
      <c r="AB23" s="109">
        <f t="shared" ref="AB23:AB27" si="6">SUM(U23:AA23)</f>
        <v>46</v>
      </c>
      <c r="AC23" s="36"/>
      <c r="AD23" s="36"/>
      <c r="AE23" s="35"/>
    </row>
    <row r="24" spans="1:31" ht="20.100000000000001" customHeight="1">
      <c r="A24" s="110"/>
      <c r="B24" s="195"/>
      <c r="C24" s="195"/>
      <c r="D24" s="196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250"/>
      <c r="Q24" s="251"/>
      <c r="R24" s="252"/>
      <c r="S24" s="187" t="str">
        <f t="shared" si="5"/>
        <v>BEIGE</v>
      </c>
      <c r="T24" s="187"/>
      <c r="U24" s="111">
        <f>'PACKING LIST'!O62</f>
        <v>0</v>
      </c>
      <c r="V24" s="112">
        <v>14</v>
      </c>
      <c r="W24" s="112">
        <v>20</v>
      </c>
      <c r="X24" s="112">
        <v>20</v>
      </c>
      <c r="Y24" s="112">
        <v>14</v>
      </c>
      <c r="Z24" s="112">
        <v>8</v>
      </c>
      <c r="AA24" s="113">
        <f>'PACKING LIST'!U62</f>
        <v>0</v>
      </c>
      <c r="AB24" s="114">
        <f t="shared" si="6"/>
        <v>76</v>
      </c>
      <c r="AC24" s="36"/>
      <c r="AD24" s="36"/>
      <c r="AE24" s="35"/>
    </row>
    <row r="25" spans="1:31" ht="20.100000000000001" customHeight="1">
      <c r="A25" s="105" t="s">
        <v>53</v>
      </c>
      <c r="B25" s="176"/>
      <c r="C25" s="176"/>
      <c r="D25" s="177"/>
      <c r="E25" s="35"/>
      <c r="F25" s="35"/>
      <c r="G25" s="115"/>
      <c r="H25" s="115"/>
      <c r="I25" s="116"/>
      <c r="J25" s="35"/>
      <c r="K25" s="35"/>
      <c r="L25" s="35"/>
      <c r="M25" s="35"/>
      <c r="N25" s="35"/>
      <c r="O25" s="35"/>
      <c r="P25" s="250"/>
      <c r="Q25" s="251"/>
      <c r="R25" s="252"/>
      <c r="S25" s="187">
        <f t="shared" si="5"/>
        <v>0</v>
      </c>
      <c r="T25" s="187"/>
      <c r="U25" s="111">
        <f>'PACKING LIST'!B126</f>
        <v>0</v>
      </c>
      <c r="V25" s="112">
        <f>'PACKING LIST'!C126</f>
        <v>0</v>
      </c>
      <c r="W25" s="112">
        <f>'PACKING LIST'!D126</f>
        <v>0</v>
      </c>
      <c r="X25" s="112">
        <f>'PACKING LIST'!E126</f>
        <v>0</v>
      </c>
      <c r="Y25" s="112">
        <f>'PACKING LIST'!F126</f>
        <v>0</v>
      </c>
      <c r="Z25" s="112">
        <f>'PACKING LIST'!G126</f>
        <v>0</v>
      </c>
      <c r="AA25" s="113">
        <f>'PACKING LIST'!H126</f>
        <v>0</v>
      </c>
      <c r="AB25" s="114">
        <f t="shared" si="6"/>
        <v>0</v>
      </c>
      <c r="AC25" s="36"/>
      <c r="AD25" s="36"/>
      <c r="AE25" s="35"/>
    </row>
    <row r="26" spans="1:31" ht="20.100000000000001" customHeight="1">
      <c r="A26" s="117" t="s">
        <v>54</v>
      </c>
      <c r="B26" s="156"/>
      <c r="C26" s="156"/>
      <c r="D26" s="178"/>
      <c r="E26" s="35"/>
      <c r="F26" s="35"/>
      <c r="G26" s="36"/>
      <c r="H26" s="36"/>
      <c r="I26" s="89"/>
      <c r="J26" s="35"/>
      <c r="K26" s="35"/>
      <c r="L26" s="35"/>
      <c r="M26" s="35"/>
      <c r="N26" s="35"/>
      <c r="O26" s="90"/>
      <c r="P26" s="253"/>
      <c r="Q26" s="254"/>
      <c r="R26" s="255"/>
      <c r="S26" s="188">
        <f t="shared" si="5"/>
        <v>0</v>
      </c>
      <c r="T26" s="188"/>
      <c r="U26" s="111">
        <f>'PACKING LIST'!O126</f>
        <v>0</v>
      </c>
      <c r="V26" s="112">
        <f>'PACKING LIST'!P126</f>
        <v>0</v>
      </c>
      <c r="W26" s="112">
        <f>'PACKING LIST'!Q126</f>
        <v>0</v>
      </c>
      <c r="X26" s="112">
        <f>'PACKING LIST'!R126</f>
        <v>0</v>
      </c>
      <c r="Y26" s="112">
        <f>'PACKING LIST'!S126</f>
        <v>0</v>
      </c>
      <c r="Z26" s="112">
        <f>'PACKING LIST'!T126</f>
        <v>0</v>
      </c>
      <c r="AA26" s="113">
        <f>'PACKING LIST'!U126</f>
        <v>0</v>
      </c>
      <c r="AB26" s="118">
        <f t="shared" si="6"/>
        <v>0</v>
      </c>
      <c r="AC26" s="119"/>
      <c r="AD26" s="36"/>
      <c r="AE26" s="35"/>
    </row>
    <row r="27" spans="1:31" ht="20.100000000000001" customHeight="1">
      <c r="A27" s="117"/>
      <c r="B27" s="156"/>
      <c r="C27" s="156"/>
      <c r="D27" s="178"/>
      <c r="E27" s="35"/>
      <c r="F27" s="35"/>
      <c r="G27" s="36"/>
      <c r="H27" s="36"/>
      <c r="I27" s="89"/>
      <c r="J27" s="35"/>
      <c r="K27" s="35"/>
      <c r="L27" s="35"/>
      <c r="M27" s="35"/>
      <c r="N27" s="35"/>
      <c r="O27" s="90"/>
      <c r="P27" s="120"/>
      <c r="Q27" s="120"/>
      <c r="R27" s="35"/>
      <c r="S27" s="35"/>
      <c r="T27" s="35"/>
      <c r="U27" s="121">
        <f t="shared" ref="U27:AA27" si="7">SUM(U23:U25)</f>
        <v>0</v>
      </c>
      <c r="V27" s="122">
        <f t="shared" si="7"/>
        <v>21</v>
      </c>
      <c r="W27" s="122">
        <f t="shared" si="7"/>
        <v>33</v>
      </c>
      <c r="X27" s="122">
        <f t="shared" si="7"/>
        <v>33</v>
      </c>
      <c r="Y27" s="122">
        <f t="shared" si="7"/>
        <v>21</v>
      </c>
      <c r="Z27" s="123">
        <f t="shared" si="7"/>
        <v>14</v>
      </c>
      <c r="AA27" s="124">
        <f t="shared" si="7"/>
        <v>0</v>
      </c>
      <c r="AB27" s="94">
        <f t="shared" si="6"/>
        <v>122</v>
      </c>
      <c r="AC27" s="125"/>
      <c r="AD27" s="36"/>
      <c r="AE27" s="35"/>
    </row>
    <row r="28" spans="1:31" ht="20.100000000000001" customHeight="1">
      <c r="A28" s="126"/>
      <c r="B28" s="179"/>
      <c r="C28" s="179"/>
      <c r="D28" s="180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53"/>
      <c r="AB28" s="53"/>
      <c r="AC28" s="52"/>
      <c r="AD28" s="119"/>
      <c r="AE28" s="127"/>
    </row>
    <row r="29" spans="1:31" ht="20.100000000000001" customHeight="1">
      <c r="A29" s="128"/>
      <c r="B29" s="129"/>
      <c r="C29" s="129"/>
      <c r="D29" s="130"/>
      <c r="E29" s="35"/>
      <c r="F29" s="35"/>
      <c r="G29" s="35"/>
      <c r="H29" s="35"/>
      <c r="I29" s="131"/>
      <c r="J29" s="131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132"/>
    </row>
    <row r="30" spans="1:31" ht="20.100000000000001" customHeight="1">
      <c r="A30" s="173" t="s">
        <v>55</v>
      </c>
      <c r="B30" s="174"/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  <c r="AA30" s="174"/>
      <c r="AB30" s="174"/>
      <c r="AC30" s="175"/>
      <c r="AE30" s="35"/>
    </row>
    <row r="31" spans="1:31" ht="20.100000000000001" customHeight="1">
      <c r="A31" s="223" t="str">
        <f>B11</f>
        <v>262VB071</v>
      </c>
      <c r="B31" s="224"/>
      <c r="C31" s="224"/>
      <c r="D31" s="224"/>
      <c r="E31" s="224"/>
      <c r="F31" s="224"/>
      <c r="G31" s="224"/>
      <c r="H31" s="224"/>
      <c r="I31" s="224"/>
      <c r="J31" s="224"/>
      <c r="K31" s="224"/>
      <c r="L31" s="224"/>
      <c r="M31" s="224"/>
      <c r="N31" s="224"/>
      <c r="O31" s="224"/>
      <c r="P31" s="224"/>
      <c r="Q31" s="224"/>
      <c r="R31" s="224"/>
      <c r="S31" s="224"/>
      <c r="T31" s="224"/>
      <c r="U31" s="224"/>
      <c r="V31" s="224"/>
      <c r="W31" s="224"/>
      <c r="X31" s="224"/>
      <c r="Y31" s="224"/>
      <c r="Z31" s="224"/>
      <c r="AA31" s="224"/>
      <c r="AB31" s="224"/>
      <c r="AC31" s="225"/>
      <c r="AE31" s="35"/>
    </row>
    <row r="32" spans="1:31" ht="20.100000000000001" customHeight="1">
      <c r="A32" s="223" t="str">
        <f>C11</f>
        <v>VEYLIN</v>
      </c>
      <c r="B32" s="224"/>
      <c r="C32" s="224"/>
      <c r="D32" s="224"/>
      <c r="E32" s="224"/>
      <c r="F32" s="224"/>
      <c r="G32" s="224"/>
      <c r="H32" s="224"/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224"/>
      <c r="T32" s="224"/>
      <c r="U32" s="224"/>
      <c r="V32" s="224"/>
      <c r="W32" s="224"/>
      <c r="X32" s="224"/>
      <c r="Y32" s="224"/>
      <c r="Z32" s="224"/>
      <c r="AA32" s="224"/>
      <c r="AB32" s="224"/>
      <c r="AC32" s="225"/>
      <c r="AE32" s="35"/>
    </row>
    <row r="33" spans="1:31" ht="20.100000000000001" customHeight="1">
      <c r="A33" s="229"/>
      <c r="B33" s="156"/>
      <c r="C33" s="156"/>
      <c r="D33" s="156"/>
      <c r="E33" s="229"/>
      <c r="F33" s="156"/>
      <c r="G33" s="156"/>
      <c r="H33" s="156"/>
      <c r="I33" s="156"/>
      <c r="J33" s="156"/>
      <c r="K33" s="156"/>
      <c r="L33" s="156"/>
      <c r="M33" s="156"/>
      <c r="N33" s="229"/>
      <c r="O33" s="156"/>
      <c r="P33" s="156"/>
      <c r="Q33" s="156"/>
      <c r="R33" s="156"/>
      <c r="S33" s="156"/>
      <c r="T33" s="156"/>
      <c r="U33" s="156"/>
      <c r="V33" s="156"/>
      <c r="W33" s="229"/>
      <c r="X33" s="156"/>
      <c r="Y33" s="156"/>
      <c r="Z33" s="156"/>
      <c r="AA33" s="156"/>
      <c r="AB33" s="156"/>
      <c r="AC33" s="156"/>
      <c r="AD33" s="133"/>
    </row>
    <row r="34" spans="1:31" ht="20.100000000000001" customHeight="1">
      <c r="A34" s="229"/>
      <c r="B34" s="156"/>
      <c r="C34" s="156"/>
      <c r="D34" s="156"/>
      <c r="E34" s="229"/>
      <c r="F34" s="156"/>
      <c r="G34" s="156"/>
      <c r="H34" s="156"/>
      <c r="I34" s="156"/>
      <c r="J34" s="156"/>
      <c r="K34" s="156"/>
      <c r="L34" s="156"/>
      <c r="M34" s="156"/>
      <c r="N34" s="229"/>
      <c r="O34" s="156"/>
      <c r="P34" s="156"/>
      <c r="Q34" s="156"/>
      <c r="R34" s="156"/>
      <c r="S34" s="156"/>
      <c r="T34" s="156"/>
      <c r="U34" s="156"/>
      <c r="V34" s="156"/>
      <c r="W34" s="229"/>
      <c r="X34" s="156"/>
      <c r="Y34" s="156"/>
      <c r="Z34" s="156"/>
      <c r="AA34" s="156"/>
      <c r="AB34" s="156"/>
      <c r="AC34" s="156"/>
      <c r="AD34" s="133"/>
    </row>
    <row r="35" spans="1:31" ht="20.100000000000001" customHeight="1">
      <c r="A35" s="229"/>
      <c r="B35" s="156"/>
      <c r="C35" s="156"/>
      <c r="D35" s="156"/>
      <c r="E35" s="229"/>
      <c r="F35" s="156"/>
      <c r="G35" s="156"/>
      <c r="H35" s="156"/>
      <c r="I35" s="156"/>
      <c r="J35" s="156"/>
      <c r="K35" s="156"/>
      <c r="L35" s="156"/>
      <c r="M35" s="156"/>
      <c r="N35" s="229"/>
      <c r="O35" s="156"/>
      <c r="P35" s="156"/>
      <c r="Q35" s="156"/>
      <c r="R35" s="156"/>
      <c r="S35" s="156"/>
      <c r="T35" s="156"/>
      <c r="U35" s="156"/>
      <c r="V35" s="156"/>
      <c r="W35" s="229"/>
      <c r="X35" s="156"/>
      <c r="Y35" s="156"/>
      <c r="Z35" s="156"/>
      <c r="AA35" s="156"/>
      <c r="AB35" s="156"/>
      <c r="AC35" s="156"/>
      <c r="AD35" s="133"/>
    </row>
    <row r="36" spans="1:31" ht="20.100000000000001" customHeight="1">
      <c r="A36" s="229"/>
      <c r="B36" s="156"/>
      <c r="C36" s="156"/>
      <c r="D36" s="156"/>
      <c r="E36" s="229"/>
      <c r="F36" s="156"/>
      <c r="G36" s="156"/>
      <c r="H36" s="156"/>
      <c r="I36" s="156"/>
      <c r="J36" s="156"/>
      <c r="K36" s="156"/>
      <c r="L36" s="156"/>
      <c r="M36" s="156"/>
      <c r="N36" s="229"/>
      <c r="O36" s="156"/>
      <c r="P36" s="156"/>
      <c r="Q36" s="156"/>
      <c r="R36" s="156"/>
      <c r="S36" s="156"/>
      <c r="T36" s="156"/>
      <c r="U36" s="156"/>
      <c r="V36" s="156"/>
      <c r="W36" s="229"/>
      <c r="X36" s="156"/>
      <c r="Y36" s="156"/>
      <c r="Z36" s="156"/>
      <c r="AA36" s="156"/>
      <c r="AB36" s="156"/>
      <c r="AC36" s="156"/>
      <c r="AD36" s="134" t="s">
        <v>56</v>
      </c>
    </row>
    <row r="37" spans="1:31" ht="20.100000000000001" customHeight="1">
      <c r="A37" s="229"/>
      <c r="B37" s="156"/>
      <c r="C37" s="156"/>
      <c r="D37" s="156"/>
      <c r="E37" s="229"/>
      <c r="F37" s="156"/>
      <c r="G37" s="156"/>
      <c r="H37" s="156"/>
      <c r="I37" s="156"/>
      <c r="J37" s="156"/>
      <c r="K37" s="156"/>
      <c r="L37" s="156"/>
      <c r="M37" s="156"/>
      <c r="N37" s="229"/>
      <c r="O37" s="156"/>
      <c r="P37" s="156"/>
      <c r="Q37" s="156"/>
      <c r="R37" s="156"/>
      <c r="S37" s="156"/>
      <c r="T37" s="156"/>
      <c r="U37" s="156"/>
      <c r="V37" s="156"/>
      <c r="W37" s="229"/>
      <c r="X37" s="156"/>
      <c r="Y37" s="156"/>
      <c r="Z37" s="156"/>
      <c r="AA37" s="156"/>
      <c r="AB37" s="156"/>
      <c r="AC37" s="156"/>
      <c r="AD37" s="135" t="s">
        <v>57</v>
      </c>
    </row>
    <row r="38" spans="1:31" ht="20.100000000000001" customHeight="1">
      <c r="A38" s="229"/>
      <c r="B38" s="156"/>
      <c r="C38" s="156"/>
      <c r="D38" s="156"/>
      <c r="E38" s="229"/>
      <c r="F38" s="156"/>
      <c r="G38" s="156"/>
      <c r="H38" s="156"/>
      <c r="I38" s="156"/>
      <c r="J38" s="156"/>
      <c r="K38" s="156"/>
      <c r="L38" s="156"/>
      <c r="M38" s="156"/>
      <c r="N38" s="229"/>
      <c r="O38" s="156"/>
      <c r="P38" s="156"/>
      <c r="Q38" s="156"/>
      <c r="R38" s="156"/>
      <c r="S38" s="156"/>
      <c r="T38" s="156"/>
      <c r="U38" s="156"/>
      <c r="V38" s="156"/>
      <c r="W38" s="229"/>
      <c r="X38" s="156"/>
      <c r="Y38" s="156"/>
      <c r="Z38" s="156"/>
      <c r="AA38" s="156"/>
      <c r="AB38" s="156"/>
      <c r="AC38" s="156"/>
      <c r="AD38" s="135"/>
    </row>
    <row r="39" spans="1:31" ht="20.100000000000001" customHeight="1">
      <c r="A39" s="229"/>
      <c r="B39" s="156"/>
      <c r="C39" s="156"/>
      <c r="D39" s="156"/>
      <c r="E39" s="229"/>
      <c r="F39" s="156"/>
      <c r="G39" s="156"/>
      <c r="H39" s="156"/>
      <c r="I39" s="156"/>
      <c r="J39" s="156"/>
      <c r="K39" s="156"/>
      <c r="L39" s="156"/>
      <c r="M39" s="156"/>
      <c r="N39" s="229"/>
      <c r="O39" s="156"/>
      <c r="P39" s="156"/>
      <c r="Q39" s="156"/>
      <c r="R39" s="156"/>
      <c r="S39" s="156"/>
      <c r="T39" s="156"/>
      <c r="U39" s="156"/>
      <c r="V39" s="156"/>
      <c r="W39" s="229"/>
      <c r="X39" s="156"/>
      <c r="Y39" s="156"/>
      <c r="Z39" s="156"/>
      <c r="AA39" s="156"/>
      <c r="AB39" s="156"/>
      <c r="AC39" s="156"/>
      <c r="AD39" s="135"/>
    </row>
    <row r="40" spans="1:31" ht="20.100000000000001" customHeight="1">
      <c r="A40" s="229"/>
      <c r="B40" s="156"/>
      <c r="C40" s="156"/>
      <c r="D40" s="156"/>
      <c r="E40" s="229"/>
      <c r="F40" s="156"/>
      <c r="G40" s="156"/>
      <c r="H40" s="156"/>
      <c r="I40" s="156"/>
      <c r="J40" s="156"/>
      <c r="K40" s="156"/>
      <c r="L40" s="156"/>
      <c r="M40" s="156"/>
      <c r="N40" s="229"/>
      <c r="O40" s="156"/>
      <c r="P40" s="156"/>
      <c r="Q40" s="156"/>
      <c r="R40" s="156"/>
      <c r="S40" s="156"/>
      <c r="T40" s="156"/>
      <c r="U40" s="156"/>
      <c r="V40" s="156"/>
      <c r="W40" s="229"/>
      <c r="X40" s="156"/>
      <c r="Y40" s="156"/>
      <c r="Z40" s="156"/>
      <c r="AA40" s="156"/>
      <c r="AB40" s="156"/>
      <c r="AC40" s="156"/>
      <c r="AD40" s="133"/>
    </row>
    <row r="41" spans="1:31" ht="20.100000000000001" customHeight="1">
      <c r="A41" s="229"/>
      <c r="B41" s="156"/>
      <c r="C41" s="156"/>
      <c r="D41" s="156"/>
      <c r="E41" s="229"/>
      <c r="F41" s="156"/>
      <c r="G41" s="156"/>
      <c r="H41" s="156"/>
      <c r="I41" s="156"/>
      <c r="J41" s="156"/>
      <c r="K41" s="156"/>
      <c r="L41" s="156"/>
      <c r="M41" s="156"/>
      <c r="N41" s="229"/>
      <c r="O41" s="156"/>
      <c r="P41" s="156"/>
      <c r="Q41" s="156"/>
      <c r="R41" s="156"/>
      <c r="S41" s="156"/>
      <c r="T41" s="156"/>
      <c r="U41" s="156"/>
      <c r="V41" s="156"/>
      <c r="W41" s="229"/>
      <c r="X41" s="156"/>
      <c r="Y41" s="156"/>
      <c r="Z41" s="156"/>
      <c r="AA41" s="156"/>
      <c r="AB41" s="156"/>
      <c r="AC41" s="156"/>
      <c r="AD41" s="133"/>
    </row>
    <row r="42" spans="1:31" ht="20.100000000000001" customHeight="1">
      <c r="A42" s="229"/>
      <c r="B42" s="156"/>
      <c r="C42" s="156"/>
      <c r="D42" s="156"/>
      <c r="E42" s="229"/>
      <c r="F42" s="156"/>
      <c r="G42" s="156"/>
      <c r="H42" s="156"/>
      <c r="I42" s="156"/>
      <c r="J42" s="156"/>
      <c r="K42" s="156"/>
      <c r="L42" s="156"/>
      <c r="M42" s="156"/>
      <c r="N42" s="229"/>
      <c r="O42" s="156"/>
      <c r="P42" s="156"/>
      <c r="Q42" s="156"/>
      <c r="R42" s="156"/>
      <c r="S42" s="156"/>
      <c r="T42" s="156"/>
      <c r="U42" s="156"/>
      <c r="V42" s="156"/>
      <c r="W42" s="229"/>
      <c r="X42" s="156"/>
      <c r="Y42" s="156"/>
      <c r="Z42" s="156"/>
      <c r="AA42" s="156"/>
      <c r="AB42" s="156"/>
      <c r="AC42" s="156"/>
      <c r="AD42" s="133"/>
    </row>
    <row r="43" spans="1:31" ht="20.100000000000001" customHeight="1">
      <c r="A43" s="226" t="str">
        <f>D11</f>
        <v>BLACK</v>
      </c>
      <c r="B43" s="227"/>
      <c r="C43" s="227"/>
      <c r="D43" s="228"/>
      <c r="E43" s="227" t="str">
        <f>D12</f>
        <v>BEIGE</v>
      </c>
      <c r="F43" s="227"/>
      <c r="G43" s="227"/>
      <c r="H43" s="227"/>
      <c r="I43" s="227"/>
      <c r="J43" s="227"/>
      <c r="K43" s="227"/>
      <c r="L43" s="227"/>
      <c r="M43" s="227"/>
      <c r="N43" s="226">
        <f>D13</f>
        <v>0</v>
      </c>
      <c r="O43" s="227"/>
      <c r="P43" s="227"/>
      <c r="Q43" s="227"/>
      <c r="R43" s="227"/>
      <c r="S43" s="227"/>
      <c r="T43" s="227"/>
      <c r="U43" s="227"/>
      <c r="V43" s="228"/>
      <c r="W43" s="227">
        <f>D14</f>
        <v>0</v>
      </c>
      <c r="X43" s="227"/>
      <c r="Y43" s="227"/>
      <c r="Z43" s="227"/>
      <c r="AA43" s="227"/>
      <c r="AB43" s="227"/>
      <c r="AC43" s="227"/>
      <c r="AD43" s="136"/>
    </row>
    <row r="44" spans="1:31" ht="20.100000000000001" customHeight="1">
      <c r="A44" s="207"/>
      <c r="B44" s="208"/>
      <c r="C44" s="208"/>
      <c r="D44" s="208"/>
      <c r="E44" s="208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Z44" s="208"/>
      <c r="AA44" s="208"/>
      <c r="AB44" s="208"/>
      <c r="AC44" s="209"/>
      <c r="AE44" s="35"/>
    </row>
    <row r="45" spans="1:31" ht="20.100000000000001" customHeight="1">
      <c r="A45" s="210" t="s">
        <v>58</v>
      </c>
      <c r="B45" s="211"/>
      <c r="C45" s="211"/>
      <c r="D45" s="211"/>
      <c r="E45" s="212"/>
      <c r="F45" s="213" t="s">
        <v>59</v>
      </c>
      <c r="G45" s="214"/>
      <c r="H45" s="214"/>
      <c r="I45" s="214"/>
      <c r="J45" s="214"/>
      <c r="K45" s="214"/>
      <c r="L45" s="215"/>
      <c r="M45" s="210" t="s">
        <v>60</v>
      </c>
      <c r="N45" s="211"/>
      <c r="O45" s="211"/>
      <c r="P45" s="211"/>
      <c r="Q45" s="211"/>
      <c r="R45" s="212"/>
      <c r="S45" s="216" t="s">
        <v>61</v>
      </c>
      <c r="T45" s="205"/>
      <c r="U45" s="205"/>
      <c r="V45" s="205"/>
      <c r="W45" s="205"/>
      <c r="X45" s="206"/>
      <c r="Y45" s="205" t="s">
        <v>62</v>
      </c>
      <c r="Z45" s="205"/>
      <c r="AA45" s="205"/>
      <c r="AB45" s="205"/>
      <c r="AC45" s="206"/>
      <c r="AE45" s="35"/>
    </row>
    <row r="46" spans="1:31" ht="20.100000000000001" customHeight="1">
      <c r="A46" s="217" t="s">
        <v>63</v>
      </c>
      <c r="B46" s="218"/>
      <c r="C46" s="218"/>
      <c r="D46" s="218"/>
      <c r="E46" s="219"/>
      <c r="F46" s="220" t="s">
        <v>64</v>
      </c>
      <c r="G46" s="221"/>
      <c r="H46" s="221"/>
      <c r="I46" s="221"/>
      <c r="J46" s="221"/>
      <c r="K46" s="221"/>
      <c r="L46" s="222"/>
      <c r="M46" s="220" t="s">
        <v>65</v>
      </c>
      <c r="N46" s="221"/>
      <c r="O46" s="221"/>
      <c r="P46" s="221"/>
      <c r="Q46" s="221"/>
      <c r="R46" s="222"/>
      <c r="S46" s="290" t="s">
        <v>66</v>
      </c>
      <c r="T46" s="291"/>
      <c r="U46" s="291"/>
      <c r="V46" s="291"/>
      <c r="W46" s="291"/>
      <c r="X46" s="292"/>
      <c r="Y46" s="205"/>
      <c r="Z46" s="205"/>
      <c r="AA46" s="205"/>
      <c r="AB46" s="205"/>
      <c r="AC46" s="206"/>
      <c r="AE46" s="35"/>
    </row>
    <row r="47" spans="1:31" ht="20.100000000000001" customHeight="1">
      <c r="A47" s="137"/>
      <c r="B47" s="138"/>
      <c r="C47" s="138"/>
      <c r="D47" s="138"/>
      <c r="E47" s="139"/>
      <c r="F47" s="269"/>
      <c r="G47" s="270"/>
      <c r="H47" s="270"/>
      <c r="I47" s="270"/>
      <c r="J47" s="270"/>
      <c r="K47" s="270"/>
      <c r="L47" s="271"/>
      <c r="M47" s="278"/>
      <c r="N47" s="279"/>
      <c r="O47" s="279"/>
      <c r="P47" s="279"/>
      <c r="Q47" s="279"/>
      <c r="R47" s="280"/>
      <c r="S47" s="137"/>
      <c r="T47" s="138"/>
      <c r="U47" s="138"/>
      <c r="V47" s="140"/>
      <c r="W47" s="140"/>
      <c r="X47" s="139"/>
      <c r="Y47" s="138"/>
      <c r="Z47" s="138"/>
      <c r="AA47" s="138"/>
      <c r="AB47" s="138"/>
      <c r="AC47" s="139"/>
      <c r="AE47" s="35"/>
    </row>
    <row r="48" spans="1:31" ht="20.100000000000001" customHeight="1">
      <c r="A48" s="141"/>
      <c r="B48" s="142"/>
      <c r="C48" s="142"/>
      <c r="D48" s="142"/>
      <c r="E48" s="143"/>
      <c r="F48" s="272"/>
      <c r="G48" s="273"/>
      <c r="H48" s="273"/>
      <c r="I48" s="273"/>
      <c r="J48" s="273"/>
      <c r="K48" s="273"/>
      <c r="L48" s="274"/>
      <c r="M48" s="281"/>
      <c r="N48" s="282"/>
      <c r="O48" s="282"/>
      <c r="P48" s="282"/>
      <c r="Q48" s="282"/>
      <c r="R48" s="283"/>
      <c r="S48" s="141"/>
      <c r="T48" s="142"/>
      <c r="U48" s="142"/>
      <c r="V48" s="144"/>
      <c r="W48" s="144"/>
      <c r="X48" s="143"/>
      <c r="Y48" s="142"/>
      <c r="Z48" s="142"/>
      <c r="AA48" s="142"/>
      <c r="AB48" s="142"/>
      <c r="AC48" s="143"/>
      <c r="AE48" s="35"/>
    </row>
    <row r="49" spans="1:31" ht="20.100000000000001" customHeight="1">
      <c r="A49" s="141"/>
      <c r="B49" s="142"/>
      <c r="C49" s="142"/>
      <c r="D49" s="142"/>
      <c r="E49" s="143"/>
      <c r="F49" s="272"/>
      <c r="G49" s="273"/>
      <c r="H49" s="273"/>
      <c r="I49" s="273"/>
      <c r="J49" s="273"/>
      <c r="K49" s="273"/>
      <c r="L49" s="274"/>
      <c r="M49" s="281"/>
      <c r="N49" s="282"/>
      <c r="O49" s="282"/>
      <c r="P49" s="282"/>
      <c r="Q49" s="282"/>
      <c r="R49" s="283"/>
      <c r="S49" s="141"/>
      <c r="T49" s="142"/>
      <c r="U49" s="142"/>
      <c r="V49" s="144"/>
      <c r="W49" s="144"/>
      <c r="X49" s="143"/>
      <c r="Y49" s="142"/>
      <c r="Z49" s="142"/>
      <c r="AA49" s="142"/>
      <c r="AB49" s="142"/>
      <c r="AC49" s="143"/>
      <c r="AE49" s="35"/>
    </row>
    <row r="50" spans="1:31" ht="20.100000000000001" customHeight="1">
      <c r="A50" s="141"/>
      <c r="B50" s="142"/>
      <c r="C50" s="142"/>
      <c r="D50" s="142"/>
      <c r="E50" s="143"/>
      <c r="F50" s="272"/>
      <c r="G50" s="273"/>
      <c r="H50" s="273"/>
      <c r="I50" s="273"/>
      <c r="J50" s="273"/>
      <c r="K50" s="273"/>
      <c r="L50" s="274"/>
      <c r="M50" s="281"/>
      <c r="N50" s="282"/>
      <c r="O50" s="282"/>
      <c r="P50" s="282"/>
      <c r="Q50" s="282"/>
      <c r="R50" s="283"/>
      <c r="S50" s="141"/>
      <c r="T50" s="142"/>
      <c r="U50" s="142"/>
      <c r="V50" s="144"/>
      <c r="W50" s="144"/>
      <c r="X50" s="143"/>
      <c r="Y50" s="142"/>
      <c r="Z50" s="142"/>
      <c r="AA50" s="142"/>
      <c r="AB50" s="142"/>
      <c r="AC50" s="143"/>
      <c r="AE50" s="35"/>
    </row>
    <row r="51" spans="1:31" ht="20.100000000000001" customHeight="1">
      <c r="A51" s="141"/>
      <c r="B51" s="142"/>
      <c r="C51" s="142"/>
      <c r="D51" s="142"/>
      <c r="E51" s="143"/>
      <c r="F51" s="272"/>
      <c r="G51" s="273"/>
      <c r="H51" s="273"/>
      <c r="I51" s="273"/>
      <c r="J51" s="273"/>
      <c r="K51" s="273"/>
      <c r="L51" s="274"/>
      <c r="M51" s="281"/>
      <c r="N51" s="282"/>
      <c r="O51" s="282"/>
      <c r="P51" s="282"/>
      <c r="Q51" s="282"/>
      <c r="R51" s="283"/>
      <c r="S51" s="141"/>
      <c r="T51" s="142"/>
      <c r="U51" s="142"/>
      <c r="V51" s="144"/>
      <c r="W51" s="144"/>
      <c r="X51" s="143"/>
      <c r="Y51" s="142"/>
      <c r="Z51" s="142"/>
      <c r="AA51" s="142"/>
      <c r="AB51" s="142"/>
      <c r="AC51" s="143"/>
      <c r="AE51" s="35"/>
    </row>
    <row r="52" spans="1:31" ht="20.100000000000001" customHeight="1">
      <c r="A52" s="141"/>
      <c r="B52" s="142"/>
      <c r="C52" s="142"/>
      <c r="D52" s="142"/>
      <c r="E52" s="143"/>
      <c r="F52" s="272"/>
      <c r="G52" s="273"/>
      <c r="H52" s="273"/>
      <c r="I52" s="273"/>
      <c r="J52" s="273"/>
      <c r="K52" s="273"/>
      <c r="L52" s="274"/>
      <c r="M52" s="281"/>
      <c r="N52" s="282"/>
      <c r="O52" s="282"/>
      <c r="P52" s="282"/>
      <c r="Q52" s="282"/>
      <c r="R52" s="283"/>
      <c r="S52" s="141"/>
      <c r="T52" s="142"/>
      <c r="U52" s="142"/>
      <c r="V52" s="142"/>
      <c r="W52" s="142"/>
      <c r="X52" s="145"/>
      <c r="Y52" s="142"/>
      <c r="Z52" s="142"/>
      <c r="AA52" s="142"/>
      <c r="AB52" s="142"/>
      <c r="AC52" s="143"/>
      <c r="AE52" s="35"/>
    </row>
    <row r="53" spans="1:31" ht="20.100000000000001" customHeight="1">
      <c r="A53" s="141"/>
      <c r="B53" s="142"/>
      <c r="C53" s="142"/>
      <c r="D53" s="142"/>
      <c r="E53" s="143"/>
      <c r="F53" s="272"/>
      <c r="G53" s="273"/>
      <c r="H53" s="273"/>
      <c r="I53" s="273"/>
      <c r="J53" s="273"/>
      <c r="K53" s="273"/>
      <c r="L53" s="274"/>
      <c r="M53" s="284"/>
      <c r="N53" s="285"/>
      <c r="O53" s="285"/>
      <c r="P53" s="285"/>
      <c r="Q53" s="285"/>
      <c r="R53" s="286"/>
      <c r="S53" s="141"/>
      <c r="T53" s="142"/>
      <c r="U53" s="142"/>
      <c r="V53" s="142"/>
      <c r="W53" s="142"/>
      <c r="X53" s="145"/>
      <c r="Y53" s="142"/>
      <c r="Z53" s="142"/>
      <c r="AA53" s="142"/>
      <c r="AB53" s="142"/>
      <c r="AC53" s="143"/>
      <c r="AE53" s="35"/>
    </row>
    <row r="54" spans="1:31" ht="20.100000000000001" customHeight="1">
      <c r="A54" s="141"/>
      <c r="B54" s="142"/>
      <c r="C54" s="142"/>
      <c r="D54" s="142"/>
      <c r="E54" s="143"/>
      <c r="F54" s="272"/>
      <c r="G54" s="273"/>
      <c r="H54" s="273"/>
      <c r="I54" s="273"/>
      <c r="J54" s="273"/>
      <c r="K54" s="273"/>
      <c r="L54" s="274"/>
      <c r="M54" s="287" t="s">
        <v>67</v>
      </c>
      <c r="N54" s="288"/>
      <c r="O54" s="288"/>
      <c r="P54" s="288"/>
      <c r="Q54" s="288"/>
      <c r="R54" s="289"/>
      <c r="S54" s="146"/>
      <c r="T54" s="142"/>
      <c r="U54" s="142"/>
      <c r="V54" s="142"/>
      <c r="W54" s="142"/>
      <c r="X54" s="145"/>
      <c r="Y54" s="142"/>
      <c r="Z54" s="142"/>
      <c r="AA54" s="142"/>
      <c r="AB54" s="142"/>
      <c r="AC54" s="143"/>
      <c r="AE54" s="35"/>
    </row>
    <row r="55" spans="1:31" ht="20.100000000000001" customHeight="1">
      <c r="A55" s="141"/>
      <c r="B55" s="142"/>
      <c r="C55" s="142"/>
      <c r="D55" s="142"/>
      <c r="E55" s="143"/>
      <c r="F55" s="272"/>
      <c r="G55" s="273"/>
      <c r="H55" s="273"/>
      <c r="I55" s="273"/>
      <c r="J55" s="273"/>
      <c r="K55" s="273"/>
      <c r="L55" s="274"/>
      <c r="M55" s="278"/>
      <c r="N55" s="279"/>
      <c r="O55" s="279"/>
      <c r="P55" s="279"/>
      <c r="Q55" s="279"/>
      <c r="R55" s="280"/>
      <c r="S55" s="141"/>
      <c r="T55" s="142"/>
      <c r="U55" s="142"/>
      <c r="V55" s="142"/>
      <c r="W55" s="142"/>
      <c r="X55" s="145"/>
      <c r="Y55" s="142"/>
      <c r="Z55" s="142"/>
      <c r="AA55" s="142"/>
      <c r="AB55" s="142"/>
      <c r="AC55" s="143"/>
      <c r="AE55" s="35"/>
    </row>
    <row r="56" spans="1:31" ht="20.100000000000001" customHeight="1">
      <c r="A56" s="141"/>
      <c r="B56" s="142"/>
      <c r="C56" s="142"/>
      <c r="D56" s="142"/>
      <c r="E56" s="143"/>
      <c r="F56" s="272"/>
      <c r="G56" s="273"/>
      <c r="H56" s="273"/>
      <c r="I56" s="273"/>
      <c r="J56" s="273"/>
      <c r="K56" s="273"/>
      <c r="L56" s="274"/>
      <c r="M56" s="281"/>
      <c r="N56" s="282"/>
      <c r="O56" s="282"/>
      <c r="P56" s="282"/>
      <c r="Q56" s="282"/>
      <c r="R56" s="283"/>
      <c r="S56" s="141"/>
      <c r="T56" s="142"/>
      <c r="U56" s="142"/>
      <c r="V56" s="142"/>
      <c r="W56" s="142"/>
      <c r="X56" s="145"/>
      <c r="Y56" s="142"/>
      <c r="Z56" s="142"/>
      <c r="AA56" s="142"/>
      <c r="AB56" s="142"/>
      <c r="AC56" s="143"/>
      <c r="AE56" s="35"/>
    </row>
    <row r="57" spans="1:31" ht="20.100000000000001" customHeight="1">
      <c r="A57" s="141"/>
      <c r="B57" s="142"/>
      <c r="C57" s="142"/>
      <c r="D57" s="142"/>
      <c r="E57" s="143"/>
      <c r="F57" s="272"/>
      <c r="G57" s="273"/>
      <c r="H57" s="273"/>
      <c r="I57" s="273"/>
      <c r="J57" s="273"/>
      <c r="K57" s="273"/>
      <c r="L57" s="274"/>
      <c r="M57" s="281"/>
      <c r="N57" s="282"/>
      <c r="O57" s="282"/>
      <c r="P57" s="282"/>
      <c r="Q57" s="282"/>
      <c r="R57" s="283"/>
      <c r="S57" s="141"/>
      <c r="T57" s="142"/>
      <c r="U57" s="142"/>
      <c r="V57" s="142"/>
      <c r="W57" s="142"/>
      <c r="X57" s="145"/>
      <c r="Y57" s="142"/>
      <c r="Z57" s="142"/>
      <c r="AA57" s="142"/>
      <c r="AB57" s="142"/>
      <c r="AC57" s="143"/>
      <c r="AE57" s="35"/>
    </row>
    <row r="58" spans="1:31" ht="20.100000000000001" customHeight="1">
      <c r="A58" s="141"/>
      <c r="B58" s="142"/>
      <c r="C58" s="142"/>
      <c r="D58" s="142"/>
      <c r="E58" s="143"/>
      <c r="F58" s="272"/>
      <c r="G58" s="273"/>
      <c r="H58" s="273"/>
      <c r="I58" s="273"/>
      <c r="J58" s="273"/>
      <c r="K58" s="273"/>
      <c r="L58" s="274"/>
      <c r="M58" s="281"/>
      <c r="N58" s="282"/>
      <c r="O58" s="282"/>
      <c r="P58" s="282"/>
      <c r="Q58" s="282"/>
      <c r="R58" s="283"/>
      <c r="S58" s="141"/>
      <c r="T58" s="142"/>
      <c r="U58" s="142"/>
      <c r="V58" s="142"/>
      <c r="W58" s="142"/>
      <c r="X58" s="145"/>
      <c r="Y58" s="142"/>
      <c r="Z58" s="142"/>
      <c r="AA58" s="142"/>
      <c r="AB58" s="142"/>
      <c r="AC58" s="143"/>
      <c r="AE58" s="35"/>
    </row>
    <row r="59" spans="1:31" ht="20.100000000000001" customHeight="1">
      <c r="A59" s="141"/>
      <c r="B59" s="142"/>
      <c r="C59" s="142"/>
      <c r="D59" s="142"/>
      <c r="E59" s="143"/>
      <c r="F59" s="272"/>
      <c r="G59" s="273"/>
      <c r="H59" s="273"/>
      <c r="I59" s="273"/>
      <c r="J59" s="273"/>
      <c r="K59" s="273"/>
      <c r="L59" s="274"/>
      <c r="M59" s="281"/>
      <c r="N59" s="282"/>
      <c r="O59" s="282"/>
      <c r="P59" s="282"/>
      <c r="Q59" s="282"/>
      <c r="R59" s="283"/>
      <c r="S59" s="141"/>
      <c r="T59" s="142"/>
      <c r="U59" s="142"/>
      <c r="V59" s="142"/>
      <c r="W59" s="142"/>
      <c r="X59" s="145"/>
      <c r="Y59" s="142"/>
      <c r="Z59" s="142"/>
      <c r="AA59" s="142"/>
      <c r="AB59" s="142"/>
      <c r="AC59" s="143"/>
      <c r="AE59" s="35"/>
    </row>
    <row r="60" spans="1:31" ht="20.100000000000001" customHeight="1">
      <c r="A60" s="141"/>
      <c r="B60" s="142"/>
      <c r="C60" s="142"/>
      <c r="D60" s="142"/>
      <c r="E60" s="143"/>
      <c r="F60" s="272"/>
      <c r="G60" s="273"/>
      <c r="H60" s="273"/>
      <c r="I60" s="273"/>
      <c r="J60" s="273"/>
      <c r="K60" s="273"/>
      <c r="L60" s="274"/>
      <c r="M60" s="281"/>
      <c r="N60" s="282"/>
      <c r="O60" s="282"/>
      <c r="P60" s="282"/>
      <c r="Q60" s="282"/>
      <c r="R60" s="283"/>
      <c r="S60" s="141"/>
      <c r="T60" s="142"/>
      <c r="U60" s="142"/>
      <c r="V60" s="142"/>
      <c r="W60" s="142"/>
      <c r="X60" s="145"/>
      <c r="Y60" s="142"/>
      <c r="Z60" s="142"/>
      <c r="AA60" s="142"/>
      <c r="AB60" s="142"/>
      <c r="AC60" s="143"/>
      <c r="AE60" s="35"/>
    </row>
    <row r="61" spans="1:31" ht="20.100000000000001" customHeight="1">
      <c r="A61" s="147"/>
      <c r="B61" s="148"/>
      <c r="C61" s="148"/>
      <c r="D61" s="148"/>
      <c r="E61" s="149"/>
      <c r="F61" s="275"/>
      <c r="G61" s="276"/>
      <c r="H61" s="276"/>
      <c r="I61" s="276"/>
      <c r="J61" s="276"/>
      <c r="K61" s="276"/>
      <c r="L61" s="277"/>
      <c r="M61" s="284"/>
      <c r="N61" s="285"/>
      <c r="O61" s="285"/>
      <c r="P61" s="285"/>
      <c r="Q61" s="285"/>
      <c r="R61" s="286"/>
      <c r="S61" s="147"/>
      <c r="T61" s="148"/>
      <c r="U61" s="148"/>
      <c r="V61" s="148"/>
      <c r="W61" s="148"/>
      <c r="X61" s="150"/>
      <c r="Y61" s="148"/>
      <c r="Z61" s="148"/>
      <c r="AA61" s="148"/>
      <c r="AB61" s="148"/>
      <c r="AC61" s="149"/>
      <c r="AE61" s="35"/>
    </row>
  </sheetData>
  <mergeCells count="88">
    <mergeCell ref="F47:L61"/>
    <mergeCell ref="M47:R53"/>
    <mergeCell ref="M55:R61"/>
    <mergeCell ref="A33:D42"/>
    <mergeCell ref="E33:M42"/>
    <mergeCell ref="N33:V42"/>
    <mergeCell ref="M54:R54"/>
    <mergeCell ref="S46:X46"/>
    <mergeCell ref="P23:R26"/>
    <mergeCell ref="Y8:Y10"/>
    <mergeCell ref="Z8:Z10"/>
    <mergeCell ref="AA8:AA10"/>
    <mergeCell ref="AB8:AB9"/>
    <mergeCell ref="AB21:AB22"/>
    <mergeCell ref="A11:A12"/>
    <mergeCell ref="B8:B9"/>
    <mergeCell ref="C8:C9"/>
    <mergeCell ref="F9:F10"/>
    <mergeCell ref="AC8:AC9"/>
    <mergeCell ref="D8:E10"/>
    <mergeCell ref="G9:G10"/>
    <mergeCell ref="H9:H10"/>
    <mergeCell ref="I9:I10"/>
    <mergeCell ref="K9:K10"/>
    <mergeCell ref="L9:L10"/>
    <mergeCell ref="M9:M10"/>
    <mergeCell ref="N9:N10"/>
    <mergeCell ref="A8:A10"/>
    <mergeCell ref="A31:AC31"/>
    <mergeCell ref="A32:AC32"/>
    <mergeCell ref="A43:D43"/>
    <mergeCell ref="E43:M43"/>
    <mergeCell ref="N43:V43"/>
    <mergeCell ref="W43:AC43"/>
    <mergeCell ref="W33:AC42"/>
    <mergeCell ref="Y46:AC46"/>
    <mergeCell ref="A44:AC44"/>
    <mergeCell ref="A45:E45"/>
    <mergeCell ref="F45:L45"/>
    <mergeCell ref="M45:R45"/>
    <mergeCell ref="S45:X45"/>
    <mergeCell ref="Y45:AC45"/>
    <mergeCell ref="A46:E46"/>
    <mergeCell ref="F46:L46"/>
    <mergeCell ref="M46:R46"/>
    <mergeCell ref="A30:AC30"/>
    <mergeCell ref="B25:D28"/>
    <mergeCell ref="D14:E14"/>
    <mergeCell ref="D15:E15"/>
    <mergeCell ref="D16:E16"/>
    <mergeCell ref="D17:E17"/>
    <mergeCell ref="U21:AA21"/>
    <mergeCell ref="S23:T23"/>
    <mergeCell ref="S24:T24"/>
    <mergeCell ref="S25:T25"/>
    <mergeCell ref="S26:T26"/>
    <mergeCell ref="B19:D20"/>
    <mergeCell ref="B21:D22"/>
    <mergeCell ref="B23:D24"/>
    <mergeCell ref="P21:R22"/>
    <mergeCell ref="S21:T22"/>
    <mergeCell ref="B6:C6"/>
    <mergeCell ref="F8:X8"/>
    <mergeCell ref="D11:E11"/>
    <mergeCell ref="D12:E12"/>
    <mergeCell ref="D13:E13"/>
    <mergeCell ref="Q9:Q10"/>
    <mergeCell ref="R9:R10"/>
    <mergeCell ref="S9:S10"/>
    <mergeCell ref="T9:T10"/>
    <mergeCell ref="U9:U10"/>
    <mergeCell ref="V9:V10"/>
    <mergeCell ref="W9:W10"/>
    <mergeCell ref="X9:X10"/>
    <mergeCell ref="O9:O10"/>
    <mergeCell ref="P9:P10"/>
    <mergeCell ref="J9:J10"/>
    <mergeCell ref="L4:P4"/>
    <mergeCell ref="X4:AC4"/>
    <mergeCell ref="B5:C5"/>
    <mergeCell ref="L5:P5"/>
    <mergeCell ref="X5:AC5"/>
    <mergeCell ref="A1:C1"/>
    <mergeCell ref="X1:AC1"/>
    <mergeCell ref="L2:P2"/>
    <mergeCell ref="X2:AC2"/>
    <mergeCell ref="L3:P3"/>
    <mergeCell ref="X3:AC3"/>
  </mergeCells>
  <printOptions horizontalCentered="1" verticalCentered="1"/>
  <pageMargins left="0.3" right="0.3" top="0.3" bottom="0.3" header="0.3" footer="0.3"/>
  <pageSetup paperSize="9" scale="36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27"/>
  <sheetViews>
    <sheetView showGridLines="0" topLeftCell="A36" zoomScale="70" zoomScaleNormal="70" workbookViewId="0">
      <selection activeCell="B62" sqref="B62"/>
    </sheetView>
  </sheetViews>
  <sheetFormatPr defaultColWidth="9.140625" defaultRowHeight="12.75"/>
  <cols>
    <col min="1" max="1" width="14.5703125" style="1" customWidth="1"/>
    <col min="2" max="9" width="8.85546875" style="1"/>
    <col min="10" max="12" width="6.140625" style="1" customWidth="1"/>
    <col min="13" max="13" width="8.85546875" style="3"/>
    <col min="14" max="14" width="13.42578125" style="1" customWidth="1"/>
    <col min="15" max="21" width="8.85546875" style="1"/>
    <col min="22" max="24" width="6" style="1" customWidth="1"/>
    <col min="25" max="25" width="8.85546875" style="1"/>
    <col min="26" max="26" width="6.140625" style="1" customWidth="1"/>
    <col min="27" max="235" width="8.85546875" style="1"/>
    <col min="236" max="16384" width="9.140625" style="1"/>
  </cols>
  <sheetData>
    <row r="1" spans="1:26" ht="18">
      <c r="A1" s="4" t="s">
        <v>68</v>
      </c>
      <c r="B1" s="4"/>
      <c r="C1" s="5"/>
      <c r="D1" s="5"/>
      <c r="E1" s="5"/>
      <c r="F1" s="5"/>
      <c r="G1" s="5"/>
      <c r="H1" s="5"/>
      <c r="J1" s="5"/>
      <c r="N1" s="4"/>
      <c r="O1" s="4"/>
      <c r="P1" s="5"/>
      <c r="Q1" s="5"/>
      <c r="R1" s="5"/>
      <c r="S1" s="5"/>
      <c r="T1" s="5"/>
      <c r="U1" s="5"/>
      <c r="W1" s="5"/>
      <c r="Z1" s="3"/>
    </row>
    <row r="2" spans="1:26" ht="18">
      <c r="A2" s="6"/>
      <c r="B2" s="6"/>
      <c r="C2" s="5"/>
      <c r="D2" s="5"/>
      <c r="E2" s="5"/>
      <c r="F2" s="5"/>
      <c r="G2" s="5"/>
      <c r="H2" s="5"/>
      <c r="J2" s="5"/>
      <c r="N2" s="6"/>
      <c r="O2" s="6"/>
      <c r="P2" s="5"/>
      <c r="Q2" s="5"/>
      <c r="R2" s="5"/>
      <c r="S2" s="5"/>
      <c r="T2" s="5"/>
      <c r="U2" s="5"/>
      <c r="W2" s="5"/>
      <c r="Z2" s="3"/>
    </row>
    <row r="3" spans="1:26" ht="18">
      <c r="A3" s="6" t="str">
        <f>'CONFIRMED PO'!C11</f>
        <v>VEYLIN</v>
      </c>
      <c r="B3" s="7"/>
      <c r="C3" s="7"/>
      <c r="D3" s="7"/>
      <c r="E3" s="7"/>
      <c r="F3" s="7"/>
      <c r="G3" s="7"/>
      <c r="H3" s="7"/>
      <c r="J3" s="5"/>
      <c r="N3" s="6" t="str">
        <f>A3</f>
        <v>VEYLIN</v>
      </c>
      <c r="O3" s="7"/>
      <c r="P3" s="7"/>
      <c r="Q3" s="7"/>
      <c r="R3" s="7"/>
      <c r="S3" s="7"/>
      <c r="T3" s="7"/>
      <c r="U3" s="7"/>
      <c r="W3" s="5"/>
      <c r="Z3" s="3"/>
    </row>
    <row r="4" spans="1:26">
      <c r="A4" s="8" t="str">
        <f>'CONFIRMED PO'!D11</f>
        <v>BLACK</v>
      </c>
      <c r="B4" s="9">
        <v>35</v>
      </c>
      <c r="C4" s="9">
        <f t="shared" ref="C4:H4" si="0">B4+1</f>
        <v>36</v>
      </c>
      <c r="D4" s="9">
        <f t="shared" si="0"/>
        <v>37</v>
      </c>
      <c r="E4" s="9">
        <f t="shared" si="0"/>
        <v>38</v>
      </c>
      <c r="F4" s="9">
        <f t="shared" si="0"/>
        <v>39</v>
      </c>
      <c r="G4" s="9">
        <f t="shared" si="0"/>
        <v>40</v>
      </c>
      <c r="H4" s="9">
        <f t="shared" si="0"/>
        <v>41</v>
      </c>
      <c r="I4" s="10"/>
      <c r="J4" s="5"/>
      <c r="K4" s="5" t="s">
        <v>69</v>
      </c>
      <c r="L4" s="5" t="s">
        <v>70</v>
      </c>
      <c r="N4" s="8" t="str">
        <f>'CONFIRMED PO'!D12</f>
        <v>BEIGE</v>
      </c>
      <c r="O4" s="9">
        <v>35</v>
      </c>
      <c r="P4" s="9">
        <f t="shared" ref="P4:U4" si="1">O4+1</f>
        <v>36</v>
      </c>
      <c r="Q4" s="9">
        <f t="shared" si="1"/>
        <v>37</v>
      </c>
      <c r="R4" s="9">
        <f t="shared" si="1"/>
        <v>38</v>
      </c>
      <c r="S4" s="9">
        <f t="shared" si="1"/>
        <v>39</v>
      </c>
      <c r="T4" s="9">
        <f t="shared" si="1"/>
        <v>40</v>
      </c>
      <c r="U4" s="9">
        <f t="shared" si="1"/>
        <v>41</v>
      </c>
      <c r="V4" s="10"/>
      <c r="W4" s="5"/>
      <c r="X4" s="5" t="s">
        <v>69</v>
      </c>
      <c r="Y4" s="5" t="s">
        <v>70</v>
      </c>
      <c r="Z4" s="3"/>
    </row>
    <row r="5" spans="1:26" s="2" customFormat="1">
      <c r="A5" s="11" t="s">
        <v>71</v>
      </c>
      <c r="B5" s="12">
        <v>1</v>
      </c>
      <c r="C5" s="12">
        <v>2</v>
      </c>
      <c r="D5" s="12">
        <v>3</v>
      </c>
      <c r="E5" s="12">
        <v>3</v>
      </c>
      <c r="F5" s="12">
        <v>2</v>
      </c>
      <c r="G5" s="12">
        <v>1</v>
      </c>
      <c r="H5" s="12"/>
      <c r="I5" s="13">
        <f t="shared" ref="I5:I9" si="2">SUM(B5:H5)</f>
        <v>12</v>
      </c>
      <c r="J5" s="12" t="s">
        <v>72</v>
      </c>
      <c r="K5" s="14"/>
      <c r="L5" s="15">
        <f>I5*K5</f>
        <v>0</v>
      </c>
      <c r="M5" s="16" t="s">
        <v>73</v>
      </c>
      <c r="N5" s="11" t="s">
        <v>71</v>
      </c>
      <c r="O5" s="12">
        <v>1</v>
      </c>
      <c r="P5" s="12">
        <v>2</v>
      </c>
      <c r="Q5" s="12">
        <v>3</v>
      </c>
      <c r="R5" s="12">
        <v>3</v>
      </c>
      <c r="S5" s="12">
        <v>2</v>
      </c>
      <c r="T5" s="12">
        <v>1</v>
      </c>
      <c r="U5" s="12"/>
      <c r="V5" s="13">
        <f t="shared" ref="V5:V9" si="3">SUM(O5:U5)</f>
        <v>12</v>
      </c>
      <c r="W5" s="12" t="s">
        <v>72</v>
      </c>
      <c r="X5" s="14"/>
      <c r="Y5" s="15">
        <f>V5*X5</f>
        <v>0</v>
      </c>
      <c r="Z5" s="16" t="s">
        <v>73</v>
      </c>
    </row>
    <row r="6" spans="1:26" s="2" customFormat="1">
      <c r="A6" s="11" t="s">
        <v>74</v>
      </c>
      <c r="B6" s="12">
        <f t="shared" ref="B6:H6" si="4">B5*$K5</f>
        <v>0</v>
      </c>
      <c r="C6" s="12">
        <f t="shared" si="4"/>
        <v>0</v>
      </c>
      <c r="D6" s="12">
        <f t="shared" si="4"/>
        <v>0</v>
      </c>
      <c r="E6" s="12">
        <f t="shared" si="4"/>
        <v>0</v>
      </c>
      <c r="F6" s="12">
        <f t="shared" si="4"/>
        <v>0</v>
      </c>
      <c r="G6" s="12">
        <f t="shared" si="4"/>
        <v>0</v>
      </c>
      <c r="H6" s="12">
        <f t="shared" si="4"/>
        <v>0</v>
      </c>
      <c r="I6" s="13">
        <f t="shared" si="2"/>
        <v>0</v>
      </c>
      <c r="J6" s="12"/>
      <c r="L6" s="17"/>
      <c r="M6" s="16"/>
      <c r="N6" s="11" t="s">
        <v>74</v>
      </c>
      <c r="O6" s="12">
        <f t="shared" ref="O6:U6" si="5">O5*$X5</f>
        <v>0</v>
      </c>
      <c r="P6" s="12">
        <f t="shared" si="5"/>
        <v>0</v>
      </c>
      <c r="Q6" s="12">
        <f t="shared" si="5"/>
        <v>0</v>
      </c>
      <c r="R6" s="12">
        <f t="shared" si="5"/>
        <v>0</v>
      </c>
      <c r="S6" s="12">
        <f t="shared" si="5"/>
        <v>0</v>
      </c>
      <c r="T6" s="12">
        <f t="shared" si="5"/>
        <v>0</v>
      </c>
      <c r="U6" s="12">
        <f t="shared" si="5"/>
        <v>0</v>
      </c>
      <c r="V6" s="13">
        <f t="shared" si="3"/>
        <v>0</v>
      </c>
      <c r="W6" s="12"/>
      <c r="Y6" s="17"/>
      <c r="Z6" s="16"/>
    </row>
    <row r="7" spans="1:26" s="2" customFormat="1">
      <c r="A7" s="18"/>
      <c r="B7" s="19"/>
      <c r="C7" s="19"/>
      <c r="D7" s="19"/>
      <c r="E7" s="19"/>
      <c r="F7" s="19"/>
      <c r="G7" s="19"/>
      <c r="H7" s="19"/>
      <c r="I7" s="20"/>
      <c r="J7" s="12"/>
      <c r="L7" s="17"/>
      <c r="M7" s="16"/>
      <c r="N7" s="18"/>
      <c r="O7" s="19"/>
      <c r="P7" s="19"/>
      <c r="Q7" s="19"/>
      <c r="R7" s="19"/>
      <c r="S7" s="19"/>
      <c r="T7" s="19"/>
      <c r="U7" s="19"/>
      <c r="V7" s="20"/>
      <c r="W7" s="12"/>
      <c r="Y7" s="17"/>
      <c r="Z7" s="16"/>
    </row>
    <row r="8" spans="1:26" s="2" customFormat="1">
      <c r="A8" s="11" t="s">
        <v>75</v>
      </c>
      <c r="B8" s="12"/>
      <c r="C8" s="12">
        <v>1</v>
      </c>
      <c r="D8" s="12">
        <v>2</v>
      </c>
      <c r="E8" s="12">
        <v>3</v>
      </c>
      <c r="F8" s="12">
        <v>3</v>
      </c>
      <c r="G8" s="12">
        <v>2</v>
      </c>
      <c r="H8" s="12">
        <v>1</v>
      </c>
      <c r="I8" s="13">
        <f t="shared" si="2"/>
        <v>12</v>
      </c>
      <c r="J8" s="12" t="s">
        <v>72</v>
      </c>
      <c r="K8" s="14"/>
      <c r="L8" s="15">
        <f>I8*K8</f>
        <v>0</v>
      </c>
      <c r="M8" s="16" t="s">
        <v>76</v>
      </c>
      <c r="N8" s="11" t="s">
        <v>75</v>
      </c>
      <c r="O8" s="12"/>
      <c r="P8" s="12">
        <v>1</v>
      </c>
      <c r="Q8" s="12">
        <v>2</v>
      </c>
      <c r="R8" s="12">
        <v>3</v>
      </c>
      <c r="S8" s="12">
        <v>3</v>
      </c>
      <c r="T8" s="12">
        <v>2</v>
      </c>
      <c r="U8" s="12">
        <v>1</v>
      </c>
      <c r="V8" s="13">
        <f t="shared" si="3"/>
        <v>12</v>
      </c>
      <c r="W8" s="12" t="s">
        <v>72</v>
      </c>
      <c r="X8" s="14"/>
      <c r="Y8" s="15">
        <f>V8*X8</f>
        <v>0</v>
      </c>
      <c r="Z8" s="16" t="s">
        <v>76</v>
      </c>
    </row>
    <row r="9" spans="1:26" s="2" customFormat="1">
      <c r="A9" s="11" t="s">
        <v>77</v>
      </c>
      <c r="B9" s="12">
        <f t="shared" ref="B9:H9" si="6">B8*$K8</f>
        <v>0</v>
      </c>
      <c r="C9" s="12">
        <f t="shared" si="6"/>
        <v>0</v>
      </c>
      <c r="D9" s="12">
        <f t="shared" si="6"/>
        <v>0</v>
      </c>
      <c r="E9" s="12">
        <f t="shared" si="6"/>
        <v>0</v>
      </c>
      <c r="F9" s="12">
        <f t="shared" si="6"/>
        <v>0</v>
      </c>
      <c r="G9" s="12">
        <f t="shared" si="6"/>
        <v>0</v>
      </c>
      <c r="H9" s="12">
        <f t="shared" si="6"/>
        <v>0</v>
      </c>
      <c r="I9" s="13">
        <f t="shared" si="2"/>
        <v>0</v>
      </c>
      <c r="J9" s="12"/>
      <c r="L9" s="17"/>
      <c r="M9" s="16"/>
      <c r="N9" s="11" t="s">
        <v>77</v>
      </c>
      <c r="O9" s="12">
        <f t="shared" ref="O9:U9" si="7">O8*$X8</f>
        <v>0</v>
      </c>
      <c r="P9" s="12">
        <f t="shared" si="7"/>
        <v>0</v>
      </c>
      <c r="Q9" s="12">
        <f t="shared" si="7"/>
        <v>0</v>
      </c>
      <c r="R9" s="12">
        <f t="shared" si="7"/>
        <v>0</v>
      </c>
      <c r="S9" s="12">
        <f t="shared" si="7"/>
        <v>0</v>
      </c>
      <c r="T9" s="12">
        <f t="shared" si="7"/>
        <v>0</v>
      </c>
      <c r="U9" s="12">
        <f t="shared" si="7"/>
        <v>0</v>
      </c>
      <c r="V9" s="13">
        <f t="shared" si="3"/>
        <v>0</v>
      </c>
      <c r="W9" s="12"/>
      <c r="Y9" s="17"/>
      <c r="Z9" s="16"/>
    </row>
    <row r="10" spans="1:26" s="2" customFormat="1">
      <c r="A10" s="18"/>
      <c r="B10" s="19"/>
      <c r="C10" s="19"/>
      <c r="D10" s="19"/>
      <c r="E10" s="19"/>
      <c r="F10" s="19"/>
      <c r="G10" s="19"/>
      <c r="H10" s="19"/>
      <c r="I10" s="21"/>
      <c r="J10" s="12"/>
      <c r="L10" s="17"/>
      <c r="M10" s="16"/>
      <c r="N10" s="18"/>
      <c r="O10" s="19"/>
      <c r="P10" s="19"/>
      <c r="Q10" s="19"/>
      <c r="R10" s="19"/>
      <c r="S10" s="19"/>
      <c r="T10" s="19"/>
      <c r="U10" s="19"/>
      <c r="V10" s="21"/>
      <c r="W10" s="12"/>
      <c r="Y10" s="17"/>
      <c r="Z10" s="16"/>
    </row>
    <row r="11" spans="1:26" s="2" customFormat="1">
      <c r="A11" s="22" t="s">
        <v>78</v>
      </c>
      <c r="B11" s="12">
        <v>1</v>
      </c>
      <c r="C11" s="12">
        <v>2</v>
      </c>
      <c r="D11" s="12">
        <v>2</v>
      </c>
      <c r="E11" s="12">
        <v>3</v>
      </c>
      <c r="F11" s="12">
        <v>2</v>
      </c>
      <c r="G11" s="12">
        <v>2</v>
      </c>
      <c r="H11" s="12"/>
      <c r="I11" s="13">
        <f t="shared" ref="I11:I15" si="8">SUM(B11:H11)</f>
        <v>12</v>
      </c>
      <c r="J11" s="12" t="s">
        <v>72</v>
      </c>
      <c r="K11" s="14"/>
      <c r="L11" s="15">
        <f>I11*K11</f>
        <v>0</v>
      </c>
      <c r="M11" s="16" t="s">
        <v>79</v>
      </c>
      <c r="N11" s="22" t="s">
        <v>78</v>
      </c>
      <c r="O11" s="12">
        <v>1</v>
      </c>
      <c r="P11" s="12">
        <v>2</v>
      </c>
      <c r="Q11" s="12">
        <v>2</v>
      </c>
      <c r="R11" s="12">
        <v>3</v>
      </c>
      <c r="S11" s="12">
        <v>2</v>
      </c>
      <c r="T11" s="12">
        <v>2</v>
      </c>
      <c r="U11" s="12"/>
      <c r="V11" s="13">
        <f t="shared" ref="V11:V15" si="9">SUM(O11:U11)</f>
        <v>12</v>
      </c>
      <c r="W11" s="12" t="s">
        <v>72</v>
      </c>
      <c r="X11" s="14"/>
      <c r="Y11" s="15">
        <f>V11*X11</f>
        <v>0</v>
      </c>
      <c r="Z11" s="16" t="s">
        <v>79</v>
      </c>
    </row>
    <row r="12" spans="1:26" s="2" customFormat="1">
      <c r="A12" s="11" t="s">
        <v>80</v>
      </c>
      <c r="B12" s="12">
        <f t="shared" ref="B12:H12" si="10">B11*$K11</f>
        <v>0</v>
      </c>
      <c r="C12" s="12">
        <f t="shared" si="10"/>
        <v>0</v>
      </c>
      <c r="D12" s="12">
        <f t="shared" si="10"/>
        <v>0</v>
      </c>
      <c r="E12" s="12">
        <f t="shared" si="10"/>
        <v>0</v>
      </c>
      <c r="F12" s="12">
        <f t="shared" si="10"/>
        <v>0</v>
      </c>
      <c r="G12" s="12">
        <f t="shared" si="10"/>
        <v>0</v>
      </c>
      <c r="H12" s="12">
        <f t="shared" si="10"/>
        <v>0</v>
      </c>
      <c r="I12" s="13">
        <f t="shared" si="8"/>
        <v>0</v>
      </c>
      <c r="J12" s="12"/>
      <c r="L12" s="17"/>
      <c r="M12" s="16"/>
      <c r="N12" s="11" t="s">
        <v>80</v>
      </c>
      <c r="O12" s="12">
        <f t="shared" ref="O12:U12" si="11">O11*$X11</f>
        <v>0</v>
      </c>
      <c r="P12" s="12">
        <f t="shared" si="11"/>
        <v>0</v>
      </c>
      <c r="Q12" s="12">
        <f t="shared" si="11"/>
        <v>0</v>
      </c>
      <c r="R12" s="12">
        <f t="shared" si="11"/>
        <v>0</v>
      </c>
      <c r="S12" s="12">
        <f t="shared" si="11"/>
        <v>0</v>
      </c>
      <c r="T12" s="12">
        <f t="shared" si="11"/>
        <v>0</v>
      </c>
      <c r="U12" s="12">
        <f t="shared" si="11"/>
        <v>0</v>
      </c>
      <c r="V12" s="13">
        <f t="shared" si="9"/>
        <v>0</v>
      </c>
      <c r="W12" s="12"/>
      <c r="Y12" s="17"/>
      <c r="Z12" s="16"/>
    </row>
    <row r="13" spans="1:26" s="2" customFormat="1">
      <c r="A13" s="18"/>
      <c r="B13" s="19"/>
      <c r="C13" s="19"/>
      <c r="D13" s="19"/>
      <c r="E13" s="19"/>
      <c r="F13" s="19"/>
      <c r="G13" s="19"/>
      <c r="H13" s="19"/>
      <c r="I13" s="20"/>
      <c r="J13" s="12"/>
      <c r="L13" s="17"/>
      <c r="M13" s="16"/>
      <c r="N13" s="18"/>
      <c r="O13" s="19"/>
      <c r="P13" s="19"/>
      <c r="Q13" s="19"/>
      <c r="R13" s="19"/>
      <c r="S13" s="19"/>
      <c r="T13" s="19"/>
      <c r="U13" s="19"/>
      <c r="V13" s="20"/>
      <c r="W13" s="12"/>
      <c r="Y13" s="17"/>
      <c r="Z13" s="16"/>
    </row>
    <row r="14" spans="1:26" s="2" customFormat="1">
      <c r="A14" s="11" t="s">
        <v>81</v>
      </c>
      <c r="B14" s="12">
        <v>2</v>
      </c>
      <c r="C14" s="12">
        <v>2</v>
      </c>
      <c r="D14" s="12">
        <v>3</v>
      </c>
      <c r="E14" s="12">
        <v>2</v>
      </c>
      <c r="F14" s="12">
        <v>2</v>
      </c>
      <c r="G14" s="12">
        <v>1</v>
      </c>
      <c r="H14" s="12"/>
      <c r="I14" s="13">
        <f t="shared" si="8"/>
        <v>12</v>
      </c>
      <c r="J14" s="12" t="s">
        <v>72</v>
      </c>
      <c r="K14" s="14"/>
      <c r="L14" s="15">
        <f>I14*K14</f>
        <v>0</v>
      </c>
      <c r="M14" s="16" t="s">
        <v>82</v>
      </c>
      <c r="N14" s="11" t="s">
        <v>81</v>
      </c>
      <c r="O14" s="12">
        <v>2</v>
      </c>
      <c r="P14" s="12">
        <v>2</v>
      </c>
      <c r="Q14" s="12">
        <v>3</v>
      </c>
      <c r="R14" s="12">
        <v>2</v>
      </c>
      <c r="S14" s="12">
        <v>2</v>
      </c>
      <c r="T14" s="12">
        <v>1</v>
      </c>
      <c r="U14" s="12"/>
      <c r="V14" s="13">
        <f t="shared" si="9"/>
        <v>12</v>
      </c>
      <c r="W14" s="12" t="s">
        <v>72</v>
      </c>
      <c r="X14" s="14"/>
      <c r="Y14" s="15">
        <f>V14*X14</f>
        <v>0</v>
      </c>
      <c r="Z14" s="16" t="s">
        <v>82</v>
      </c>
    </row>
    <row r="15" spans="1:26" s="2" customFormat="1">
      <c r="A15" s="11" t="s">
        <v>83</v>
      </c>
      <c r="B15" s="12">
        <f t="shared" ref="B15:H15" si="12">B14*$K14</f>
        <v>0</v>
      </c>
      <c r="C15" s="12">
        <f t="shared" si="12"/>
        <v>0</v>
      </c>
      <c r="D15" s="12">
        <f t="shared" si="12"/>
        <v>0</v>
      </c>
      <c r="E15" s="12">
        <f t="shared" si="12"/>
        <v>0</v>
      </c>
      <c r="F15" s="12">
        <f t="shared" si="12"/>
        <v>0</v>
      </c>
      <c r="G15" s="12">
        <f t="shared" si="12"/>
        <v>0</v>
      </c>
      <c r="H15" s="12">
        <f t="shared" si="12"/>
        <v>0</v>
      </c>
      <c r="I15" s="13">
        <f t="shared" si="8"/>
        <v>0</v>
      </c>
      <c r="J15" s="12"/>
      <c r="L15" s="17"/>
      <c r="M15" s="16"/>
      <c r="N15" s="11" t="s">
        <v>83</v>
      </c>
      <c r="O15" s="12">
        <f t="shared" ref="O15:U15" si="13">O14*$X14</f>
        <v>0</v>
      </c>
      <c r="P15" s="12">
        <f t="shared" si="13"/>
        <v>0</v>
      </c>
      <c r="Q15" s="12">
        <f t="shared" si="13"/>
        <v>0</v>
      </c>
      <c r="R15" s="12">
        <f t="shared" si="13"/>
        <v>0</v>
      </c>
      <c r="S15" s="12">
        <f t="shared" si="13"/>
        <v>0</v>
      </c>
      <c r="T15" s="12">
        <f t="shared" si="13"/>
        <v>0</v>
      </c>
      <c r="U15" s="12">
        <f t="shared" si="13"/>
        <v>0</v>
      </c>
      <c r="V15" s="13">
        <f t="shared" si="9"/>
        <v>0</v>
      </c>
      <c r="W15" s="12"/>
      <c r="Y15" s="17"/>
      <c r="Z15" s="16"/>
    </row>
    <row r="16" spans="1:26" s="2" customFormat="1">
      <c r="A16" s="18"/>
      <c r="B16" s="19"/>
      <c r="C16" s="19"/>
      <c r="D16" s="19"/>
      <c r="E16" s="19"/>
      <c r="F16" s="19"/>
      <c r="G16" s="19"/>
      <c r="H16" s="19"/>
      <c r="I16" s="20"/>
      <c r="J16" s="12"/>
      <c r="L16" s="17"/>
      <c r="M16" s="16"/>
      <c r="N16" s="18"/>
      <c r="O16" s="19"/>
      <c r="P16" s="19"/>
      <c r="Q16" s="19"/>
      <c r="R16" s="19"/>
      <c r="S16" s="19"/>
      <c r="T16" s="19"/>
      <c r="U16" s="19"/>
      <c r="V16" s="20"/>
      <c r="W16" s="12"/>
      <c r="Y16" s="17"/>
      <c r="Z16" s="16"/>
    </row>
    <row r="17" spans="1:30" s="2" customFormat="1">
      <c r="A17" s="11" t="s">
        <v>84</v>
      </c>
      <c r="B17" s="12">
        <v>1</v>
      </c>
      <c r="C17" s="12">
        <v>2</v>
      </c>
      <c r="D17" s="12">
        <v>2</v>
      </c>
      <c r="E17" s="12">
        <v>2</v>
      </c>
      <c r="F17" s="12">
        <v>2</v>
      </c>
      <c r="G17" s="12">
        <v>2</v>
      </c>
      <c r="H17" s="12">
        <v>1</v>
      </c>
      <c r="I17" s="13">
        <f t="shared" ref="I17:I21" si="14">SUM(B17:H17)</f>
        <v>12</v>
      </c>
      <c r="J17" s="12" t="s">
        <v>72</v>
      </c>
      <c r="K17" s="14"/>
      <c r="L17" s="15">
        <f>I17*K17</f>
        <v>0</v>
      </c>
      <c r="M17" s="16" t="s">
        <v>85</v>
      </c>
      <c r="N17" s="11" t="s">
        <v>84</v>
      </c>
      <c r="O17" s="12">
        <v>1</v>
      </c>
      <c r="P17" s="12">
        <v>2</v>
      </c>
      <c r="Q17" s="12">
        <v>2</v>
      </c>
      <c r="R17" s="12">
        <v>2</v>
      </c>
      <c r="S17" s="12">
        <v>2</v>
      </c>
      <c r="T17" s="12">
        <v>2</v>
      </c>
      <c r="U17" s="12">
        <v>1</v>
      </c>
      <c r="V17" s="13">
        <f t="shared" ref="V17:V21" si="15">SUM(O17:U17)</f>
        <v>12</v>
      </c>
      <c r="W17" s="12" t="s">
        <v>72</v>
      </c>
      <c r="X17" s="14"/>
      <c r="Y17" s="15">
        <f>V17*X17</f>
        <v>0</v>
      </c>
      <c r="Z17" s="16" t="s">
        <v>85</v>
      </c>
    </row>
    <row r="18" spans="1:30" s="2" customFormat="1">
      <c r="A18" s="11" t="s">
        <v>86</v>
      </c>
      <c r="B18" s="12">
        <f t="shared" ref="B18:H18" si="16">B17*$K17</f>
        <v>0</v>
      </c>
      <c r="C18" s="12">
        <f t="shared" si="16"/>
        <v>0</v>
      </c>
      <c r="D18" s="12">
        <f t="shared" si="16"/>
        <v>0</v>
      </c>
      <c r="E18" s="12">
        <f t="shared" si="16"/>
        <v>0</v>
      </c>
      <c r="F18" s="12">
        <f t="shared" si="16"/>
        <v>0</v>
      </c>
      <c r="G18" s="12">
        <f t="shared" si="16"/>
        <v>0</v>
      </c>
      <c r="H18" s="12">
        <f t="shared" si="16"/>
        <v>0</v>
      </c>
      <c r="I18" s="13">
        <f t="shared" si="14"/>
        <v>0</v>
      </c>
      <c r="J18" s="12"/>
      <c r="L18" s="17"/>
      <c r="M18" s="16"/>
      <c r="N18" s="11" t="s">
        <v>86</v>
      </c>
      <c r="O18" s="12">
        <f t="shared" ref="O18:U18" si="17">O17*$X17</f>
        <v>0</v>
      </c>
      <c r="P18" s="12">
        <f t="shared" si="17"/>
        <v>0</v>
      </c>
      <c r="Q18" s="12">
        <f t="shared" si="17"/>
        <v>0</v>
      </c>
      <c r="R18" s="12">
        <f t="shared" si="17"/>
        <v>0</v>
      </c>
      <c r="S18" s="12">
        <f t="shared" si="17"/>
        <v>0</v>
      </c>
      <c r="T18" s="12">
        <f t="shared" si="17"/>
        <v>0</v>
      </c>
      <c r="U18" s="12">
        <f t="shared" si="17"/>
        <v>0</v>
      </c>
      <c r="V18" s="13">
        <f t="shared" si="15"/>
        <v>0</v>
      </c>
      <c r="W18" s="12"/>
      <c r="Y18" s="17"/>
      <c r="Z18" s="16"/>
      <c r="AC18" s="1"/>
      <c r="AD18" s="1"/>
    </row>
    <row r="19" spans="1:30" s="2" customFormat="1">
      <c r="A19" s="18"/>
      <c r="B19" s="19"/>
      <c r="C19" s="19"/>
      <c r="D19" s="19"/>
      <c r="E19" s="19"/>
      <c r="F19" s="19"/>
      <c r="G19" s="19"/>
      <c r="H19" s="19"/>
      <c r="I19" s="20"/>
      <c r="J19" s="12"/>
      <c r="L19" s="17"/>
      <c r="M19" s="16"/>
      <c r="N19" s="18"/>
      <c r="O19" s="19"/>
      <c r="P19" s="19"/>
      <c r="Q19" s="19"/>
      <c r="R19" s="19"/>
      <c r="S19" s="19"/>
      <c r="T19" s="19"/>
      <c r="U19" s="19"/>
      <c r="V19" s="20"/>
      <c r="W19" s="12"/>
      <c r="Y19" s="17"/>
      <c r="Z19" s="16"/>
      <c r="AC19" s="1"/>
      <c r="AD19" s="1"/>
    </row>
    <row r="20" spans="1:30" s="2" customFormat="1">
      <c r="A20" s="11" t="s">
        <v>87</v>
      </c>
      <c r="B20" s="12">
        <v>1</v>
      </c>
      <c r="C20" s="12">
        <v>2</v>
      </c>
      <c r="D20" s="12">
        <v>3</v>
      </c>
      <c r="E20" s="12">
        <v>2</v>
      </c>
      <c r="F20" s="12">
        <v>2</v>
      </c>
      <c r="G20" s="12">
        <v>1</v>
      </c>
      <c r="H20" s="12">
        <v>1</v>
      </c>
      <c r="I20" s="13">
        <f t="shared" si="14"/>
        <v>12</v>
      </c>
      <c r="J20" s="12" t="s">
        <v>72</v>
      </c>
      <c r="K20" s="14"/>
      <c r="L20" s="15">
        <f>I20*K20</f>
        <v>0</v>
      </c>
      <c r="M20" s="16" t="s">
        <v>88</v>
      </c>
      <c r="N20" s="11" t="s">
        <v>87</v>
      </c>
      <c r="O20" s="12">
        <v>1</v>
      </c>
      <c r="P20" s="12">
        <v>2</v>
      </c>
      <c r="Q20" s="12">
        <v>3</v>
      </c>
      <c r="R20" s="12">
        <v>2</v>
      </c>
      <c r="S20" s="12">
        <v>2</v>
      </c>
      <c r="T20" s="12">
        <v>1</v>
      </c>
      <c r="U20" s="12">
        <v>1</v>
      </c>
      <c r="V20" s="13">
        <f t="shared" si="15"/>
        <v>12</v>
      </c>
      <c r="W20" s="12" t="s">
        <v>72</v>
      </c>
      <c r="X20" s="14"/>
      <c r="Y20" s="15">
        <f>V20*X20</f>
        <v>0</v>
      </c>
      <c r="Z20" s="16" t="s">
        <v>88</v>
      </c>
      <c r="AC20" s="1"/>
      <c r="AD20" s="1"/>
    </row>
    <row r="21" spans="1:30" s="2" customFormat="1">
      <c r="A21" s="11" t="s">
        <v>89</v>
      </c>
      <c r="B21" s="12">
        <f t="shared" ref="B21:H21" si="18">B20*$K20</f>
        <v>0</v>
      </c>
      <c r="C21" s="12">
        <f t="shared" si="18"/>
        <v>0</v>
      </c>
      <c r="D21" s="12">
        <f t="shared" si="18"/>
        <v>0</v>
      </c>
      <c r="E21" s="12">
        <f t="shared" si="18"/>
        <v>0</v>
      </c>
      <c r="F21" s="12">
        <f t="shared" si="18"/>
        <v>0</v>
      </c>
      <c r="G21" s="12">
        <f t="shared" si="18"/>
        <v>0</v>
      </c>
      <c r="H21" s="12">
        <f t="shared" si="18"/>
        <v>0</v>
      </c>
      <c r="I21" s="13">
        <f t="shared" si="14"/>
        <v>0</v>
      </c>
      <c r="J21" s="12"/>
      <c r="L21" s="17"/>
      <c r="M21" s="16"/>
      <c r="N21" s="11" t="s">
        <v>89</v>
      </c>
      <c r="O21" s="12">
        <f t="shared" ref="O21:U21" si="19">O20*$X20</f>
        <v>0</v>
      </c>
      <c r="P21" s="12">
        <f t="shared" si="19"/>
        <v>0</v>
      </c>
      <c r="Q21" s="12">
        <f t="shared" si="19"/>
        <v>0</v>
      </c>
      <c r="R21" s="12">
        <f t="shared" si="19"/>
        <v>0</v>
      </c>
      <c r="S21" s="12">
        <f t="shared" si="19"/>
        <v>0</v>
      </c>
      <c r="T21" s="12">
        <f t="shared" si="19"/>
        <v>0</v>
      </c>
      <c r="U21" s="12">
        <f t="shared" si="19"/>
        <v>0</v>
      </c>
      <c r="V21" s="13">
        <f t="shared" si="15"/>
        <v>0</v>
      </c>
      <c r="W21" s="12"/>
      <c r="Y21" s="17"/>
      <c r="Z21" s="16"/>
      <c r="AC21" s="1"/>
      <c r="AD21" s="1"/>
    </row>
    <row r="22" spans="1:30" s="2" customFormat="1">
      <c r="A22" s="18"/>
      <c r="B22" s="19"/>
      <c r="C22" s="19"/>
      <c r="D22" s="19"/>
      <c r="E22" s="19"/>
      <c r="F22" s="19"/>
      <c r="G22" s="19"/>
      <c r="H22" s="19"/>
      <c r="I22" s="20"/>
      <c r="J22" s="12"/>
      <c r="L22" s="17"/>
      <c r="M22" s="16"/>
      <c r="N22" s="18"/>
      <c r="O22" s="19"/>
      <c r="P22" s="19"/>
      <c r="Q22" s="19"/>
      <c r="R22" s="19"/>
      <c r="S22" s="19"/>
      <c r="T22" s="19"/>
      <c r="U22" s="19"/>
      <c r="V22" s="20"/>
      <c r="W22" s="12"/>
      <c r="Y22" s="17"/>
      <c r="Z22" s="16"/>
      <c r="AC22" s="1"/>
      <c r="AD22" s="1"/>
    </row>
    <row r="23" spans="1:30" s="2" customFormat="1">
      <c r="A23" s="11" t="s">
        <v>90</v>
      </c>
      <c r="B23" s="12"/>
      <c r="C23" s="12">
        <v>2</v>
      </c>
      <c r="D23" s="12">
        <v>3</v>
      </c>
      <c r="E23" s="12">
        <v>3</v>
      </c>
      <c r="F23" s="12">
        <v>2</v>
      </c>
      <c r="G23" s="12">
        <v>2</v>
      </c>
      <c r="H23" s="12"/>
      <c r="I23" s="13">
        <f t="shared" ref="I23:I27" si="20">SUM(B23:H23)</f>
        <v>12</v>
      </c>
      <c r="J23" s="12" t="s">
        <v>72</v>
      </c>
      <c r="K23" s="14"/>
      <c r="L23" s="15">
        <f>I23*K23</f>
        <v>0</v>
      </c>
      <c r="M23" s="16" t="s">
        <v>91</v>
      </c>
      <c r="N23" s="11" t="s">
        <v>90</v>
      </c>
      <c r="O23" s="12"/>
      <c r="P23" s="12">
        <v>2</v>
      </c>
      <c r="Q23" s="12">
        <v>3</v>
      </c>
      <c r="R23" s="12">
        <v>3</v>
      </c>
      <c r="S23" s="12">
        <v>2</v>
      </c>
      <c r="T23" s="12">
        <v>2</v>
      </c>
      <c r="U23" s="12"/>
      <c r="V23" s="13">
        <f t="shared" ref="V23:V27" si="21">SUM(O23:U23)</f>
        <v>12</v>
      </c>
      <c r="W23" s="12" t="s">
        <v>72</v>
      </c>
      <c r="X23" s="14"/>
      <c r="Y23" s="15">
        <f>V23*X23</f>
        <v>0</v>
      </c>
      <c r="Z23" s="16" t="s">
        <v>91</v>
      </c>
      <c r="AC23" s="1"/>
      <c r="AD23" s="1"/>
    </row>
    <row r="24" spans="1:30" s="2" customFormat="1">
      <c r="A24" s="11" t="s">
        <v>92</v>
      </c>
      <c r="B24" s="12">
        <f t="shared" ref="B24:H24" si="22">B23*$K23</f>
        <v>0</v>
      </c>
      <c r="C24" s="12">
        <f t="shared" si="22"/>
        <v>0</v>
      </c>
      <c r="D24" s="12">
        <f t="shared" si="22"/>
        <v>0</v>
      </c>
      <c r="E24" s="12">
        <f t="shared" si="22"/>
        <v>0</v>
      </c>
      <c r="F24" s="12">
        <f t="shared" si="22"/>
        <v>0</v>
      </c>
      <c r="G24" s="12">
        <f t="shared" si="22"/>
        <v>0</v>
      </c>
      <c r="H24" s="12">
        <f t="shared" si="22"/>
        <v>0</v>
      </c>
      <c r="I24" s="13">
        <f t="shared" si="20"/>
        <v>0</v>
      </c>
      <c r="J24" s="12"/>
      <c r="L24" s="17"/>
      <c r="M24" s="16"/>
      <c r="N24" s="11" t="s">
        <v>92</v>
      </c>
      <c r="O24" s="12">
        <f t="shared" ref="O24:U24" si="23">O23*$X23</f>
        <v>0</v>
      </c>
      <c r="P24" s="12">
        <f t="shared" si="23"/>
        <v>0</v>
      </c>
      <c r="Q24" s="12">
        <f t="shared" si="23"/>
        <v>0</v>
      </c>
      <c r="R24" s="12">
        <f t="shared" si="23"/>
        <v>0</v>
      </c>
      <c r="S24" s="12">
        <f t="shared" si="23"/>
        <v>0</v>
      </c>
      <c r="T24" s="12">
        <f t="shared" si="23"/>
        <v>0</v>
      </c>
      <c r="U24" s="12">
        <f t="shared" si="23"/>
        <v>0</v>
      </c>
      <c r="V24" s="13">
        <f t="shared" si="21"/>
        <v>0</v>
      </c>
      <c r="W24" s="12"/>
      <c r="Y24" s="17"/>
      <c r="Z24" s="16"/>
    </row>
    <row r="25" spans="1:30" s="2" customFormat="1">
      <c r="A25" s="18"/>
      <c r="B25" s="19"/>
      <c r="C25" s="19"/>
      <c r="D25" s="19"/>
      <c r="E25" s="19"/>
      <c r="F25" s="19"/>
      <c r="G25" s="19"/>
      <c r="H25" s="19"/>
      <c r="I25" s="20"/>
      <c r="J25" s="12"/>
      <c r="L25" s="17"/>
      <c r="M25" s="16"/>
      <c r="N25" s="18"/>
      <c r="O25" s="19"/>
      <c r="P25" s="19"/>
      <c r="Q25" s="19"/>
      <c r="R25" s="19"/>
      <c r="S25" s="19"/>
      <c r="T25" s="19"/>
      <c r="U25" s="19"/>
      <c r="V25" s="20"/>
      <c r="W25" s="12"/>
      <c r="Y25" s="17"/>
      <c r="Z25" s="16"/>
    </row>
    <row r="26" spans="1:30" s="2" customFormat="1">
      <c r="A26" s="11" t="s">
        <v>93</v>
      </c>
      <c r="B26" s="12">
        <v>1</v>
      </c>
      <c r="C26" s="12">
        <v>1</v>
      </c>
      <c r="D26" s="12">
        <v>2</v>
      </c>
      <c r="E26" s="12">
        <v>2</v>
      </c>
      <c r="F26" s="12">
        <v>1</v>
      </c>
      <c r="G26" s="12">
        <v>1</v>
      </c>
      <c r="H26" s="12"/>
      <c r="I26" s="13">
        <f t="shared" si="20"/>
        <v>8</v>
      </c>
      <c r="J26" s="12" t="s">
        <v>72</v>
      </c>
      <c r="K26" s="14"/>
      <c r="L26" s="15">
        <f>I26*K26</f>
        <v>0</v>
      </c>
      <c r="M26" s="16" t="s">
        <v>94</v>
      </c>
      <c r="N26" s="11" t="s">
        <v>93</v>
      </c>
      <c r="O26" s="12">
        <v>1</v>
      </c>
      <c r="P26" s="12">
        <v>1</v>
      </c>
      <c r="Q26" s="12">
        <v>2</v>
      </c>
      <c r="R26" s="12">
        <v>2</v>
      </c>
      <c r="S26" s="12">
        <v>1</v>
      </c>
      <c r="T26" s="12">
        <v>1</v>
      </c>
      <c r="U26" s="12"/>
      <c r="V26" s="13">
        <f t="shared" si="21"/>
        <v>8</v>
      </c>
      <c r="W26" s="12" t="s">
        <v>72</v>
      </c>
      <c r="X26" s="14"/>
      <c r="Y26" s="15">
        <f>V26*X26</f>
        <v>0</v>
      </c>
      <c r="Z26" s="16" t="s">
        <v>94</v>
      </c>
    </row>
    <row r="27" spans="1:30" s="2" customFormat="1">
      <c r="A27" s="11" t="s">
        <v>95</v>
      </c>
      <c r="B27" s="12">
        <f t="shared" ref="B27:H27" si="24">B26*$K26</f>
        <v>0</v>
      </c>
      <c r="C27" s="12">
        <f t="shared" si="24"/>
        <v>0</v>
      </c>
      <c r="D27" s="12">
        <f t="shared" si="24"/>
        <v>0</v>
      </c>
      <c r="E27" s="12">
        <f t="shared" si="24"/>
        <v>0</v>
      </c>
      <c r="F27" s="12">
        <f t="shared" si="24"/>
        <v>0</v>
      </c>
      <c r="G27" s="12">
        <f t="shared" si="24"/>
        <v>0</v>
      </c>
      <c r="H27" s="12">
        <f t="shared" si="24"/>
        <v>0</v>
      </c>
      <c r="I27" s="13">
        <f t="shared" si="20"/>
        <v>0</v>
      </c>
      <c r="J27" s="12"/>
      <c r="L27" s="17"/>
      <c r="M27" s="16"/>
      <c r="N27" s="11" t="s">
        <v>95</v>
      </c>
      <c r="O27" s="12">
        <f t="shared" ref="O27:U27" si="25">O26*$X26</f>
        <v>0</v>
      </c>
      <c r="P27" s="12">
        <f t="shared" si="25"/>
        <v>0</v>
      </c>
      <c r="Q27" s="12">
        <f t="shared" si="25"/>
        <v>0</v>
      </c>
      <c r="R27" s="12">
        <f t="shared" si="25"/>
        <v>0</v>
      </c>
      <c r="S27" s="12">
        <f t="shared" si="25"/>
        <v>0</v>
      </c>
      <c r="T27" s="12">
        <f t="shared" si="25"/>
        <v>0</v>
      </c>
      <c r="U27" s="12">
        <f t="shared" si="25"/>
        <v>0</v>
      </c>
      <c r="V27" s="13">
        <f t="shared" si="21"/>
        <v>0</v>
      </c>
      <c r="W27" s="12"/>
      <c r="Y27" s="17"/>
      <c r="Z27" s="16"/>
    </row>
    <row r="28" spans="1:30" s="2" customFormat="1">
      <c r="A28" s="18"/>
      <c r="B28" s="19"/>
      <c r="C28" s="19"/>
      <c r="D28" s="19"/>
      <c r="E28" s="19"/>
      <c r="F28" s="19"/>
      <c r="G28" s="19"/>
      <c r="H28" s="19"/>
      <c r="I28" s="20"/>
      <c r="J28" s="12"/>
      <c r="L28" s="17"/>
      <c r="M28" s="16"/>
      <c r="N28" s="18"/>
      <c r="O28" s="19"/>
      <c r="P28" s="19"/>
      <c r="Q28" s="19"/>
      <c r="R28" s="19"/>
      <c r="S28" s="19"/>
      <c r="T28" s="19"/>
      <c r="U28" s="19"/>
      <c r="V28" s="20"/>
      <c r="W28" s="12"/>
      <c r="Y28" s="17"/>
      <c r="Z28" s="16"/>
    </row>
    <row r="29" spans="1:30" s="2" customFormat="1">
      <c r="A29" s="11" t="s">
        <v>96</v>
      </c>
      <c r="B29" s="12"/>
      <c r="C29" s="12">
        <v>1</v>
      </c>
      <c r="D29" s="12">
        <v>1</v>
      </c>
      <c r="E29" s="12">
        <v>2</v>
      </c>
      <c r="F29" s="12">
        <v>2</v>
      </c>
      <c r="G29" s="12">
        <v>1</v>
      </c>
      <c r="H29" s="12">
        <v>1</v>
      </c>
      <c r="I29" s="13">
        <f t="shared" ref="I29:I33" si="26">SUM(B29:H29)</f>
        <v>8</v>
      </c>
      <c r="J29" s="12" t="s">
        <v>72</v>
      </c>
      <c r="K29" s="14"/>
      <c r="L29" s="15">
        <f>I29*K29</f>
        <v>0</v>
      </c>
      <c r="M29" s="16" t="s">
        <v>97</v>
      </c>
      <c r="N29" s="11" t="s">
        <v>96</v>
      </c>
      <c r="O29" s="12"/>
      <c r="P29" s="12">
        <v>1</v>
      </c>
      <c r="Q29" s="12">
        <v>1</v>
      </c>
      <c r="R29" s="12">
        <v>2</v>
      </c>
      <c r="S29" s="12">
        <v>2</v>
      </c>
      <c r="T29" s="12">
        <v>1</v>
      </c>
      <c r="U29" s="12">
        <v>1</v>
      </c>
      <c r="V29" s="13">
        <f t="shared" ref="V29:V33" si="27">SUM(O29:U29)</f>
        <v>8</v>
      </c>
      <c r="W29" s="12" t="s">
        <v>72</v>
      </c>
      <c r="X29" s="14"/>
      <c r="Y29" s="15">
        <f>V29*X29</f>
        <v>0</v>
      </c>
      <c r="Z29" s="16" t="s">
        <v>97</v>
      </c>
    </row>
    <row r="30" spans="1:30" s="2" customFormat="1">
      <c r="A30" s="11" t="s">
        <v>98</v>
      </c>
      <c r="B30" s="12">
        <f t="shared" ref="B30:H30" si="28">B29*$K29</f>
        <v>0</v>
      </c>
      <c r="C30" s="12">
        <f t="shared" si="28"/>
        <v>0</v>
      </c>
      <c r="D30" s="12">
        <f t="shared" si="28"/>
        <v>0</v>
      </c>
      <c r="E30" s="12">
        <f t="shared" si="28"/>
        <v>0</v>
      </c>
      <c r="F30" s="12">
        <f t="shared" si="28"/>
        <v>0</v>
      </c>
      <c r="G30" s="12">
        <f t="shared" si="28"/>
        <v>0</v>
      </c>
      <c r="H30" s="12">
        <f t="shared" si="28"/>
        <v>0</v>
      </c>
      <c r="I30" s="13">
        <f t="shared" si="26"/>
        <v>0</v>
      </c>
      <c r="J30" s="12"/>
      <c r="L30" s="17"/>
      <c r="M30" s="16"/>
      <c r="N30" s="11" t="s">
        <v>98</v>
      </c>
      <c r="O30" s="12">
        <f t="shared" ref="O30:U30" si="29">O29*$X29</f>
        <v>0</v>
      </c>
      <c r="P30" s="12">
        <f t="shared" si="29"/>
        <v>0</v>
      </c>
      <c r="Q30" s="12">
        <f t="shared" si="29"/>
        <v>0</v>
      </c>
      <c r="R30" s="12">
        <f t="shared" si="29"/>
        <v>0</v>
      </c>
      <c r="S30" s="12">
        <f t="shared" si="29"/>
        <v>0</v>
      </c>
      <c r="T30" s="12">
        <f t="shared" si="29"/>
        <v>0</v>
      </c>
      <c r="U30" s="12">
        <f t="shared" si="29"/>
        <v>0</v>
      </c>
      <c r="V30" s="13">
        <f t="shared" si="27"/>
        <v>0</v>
      </c>
      <c r="W30" s="12"/>
      <c r="Y30" s="17"/>
      <c r="Z30" s="16"/>
    </row>
    <row r="31" spans="1:30" s="2" customFormat="1">
      <c r="A31" s="18"/>
      <c r="B31" s="19"/>
      <c r="C31" s="19"/>
      <c r="D31" s="19"/>
      <c r="E31" s="19"/>
      <c r="F31" s="19"/>
      <c r="G31" s="19"/>
      <c r="H31" s="19"/>
      <c r="I31" s="20"/>
      <c r="J31" s="12"/>
      <c r="L31" s="17"/>
      <c r="M31" s="16"/>
      <c r="N31" s="18"/>
      <c r="O31" s="19"/>
      <c r="P31" s="19"/>
      <c r="Q31" s="19"/>
      <c r="R31" s="19"/>
      <c r="S31" s="19"/>
      <c r="T31" s="19"/>
      <c r="U31" s="19"/>
      <c r="V31" s="20"/>
      <c r="W31" s="12"/>
      <c r="Y31" s="17"/>
      <c r="Z31" s="16"/>
    </row>
    <row r="32" spans="1:30" s="2" customFormat="1">
      <c r="A32" s="11" t="s">
        <v>99</v>
      </c>
      <c r="B32" s="12"/>
      <c r="C32" s="12">
        <v>1</v>
      </c>
      <c r="D32" s="12">
        <v>2</v>
      </c>
      <c r="E32" s="12">
        <v>2</v>
      </c>
      <c r="F32" s="12">
        <v>2</v>
      </c>
      <c r="G32" s="12">
        <v>1</v>
      </c>
      <c r="H32" s="12"/>
      <c r="I32" s="13">
        <f t="shared" si="26"/>
        <v>8</v>
      </c>
      <c r="J32" s="12" t="s">
        <v>72</v>
      </c>
      <c r="K32" s="14"/>
      <c r="L32" s="15">
        <f>I32*K32</f>
        <v>0</v>
      </c>
      <c r="M32" s="16" t="s">
        <v>100</v>
      </c>
      <c r="N32" s="11" t="s">
        <v>99</v>
      </c>
      <c r="O32" s="12"/>
      <c r="P32" s="12">
        <v>1</v>
      </c>
      <c r="Q32" s="12">
        <v>2</v>
      </c>
      <c r="R32" s="12">
        <v>2</v>
      </c>
      <c r="S32" s="12">
        <v>2</v>
      </c>
      <c r="T32" s="12">
        <v>1</v>
      </c>
      <c r="U32" s="12"/>
      <c r="V32" s="13">
        <f t="shared" si="27"/>
        <v>8</v>
      </c>
      <c r="W32" s="12" t="s">
        <v>72</v>
      </c>
      <c r="X32" s="14"/>
      <c r="Y32" s="15">
        <f>V32*X32</f>
        <v>0</v>
      </c>
      <c r="Z32" s="16" t="s">
        <v>100</v>
      </c>
    </row>
    <row r="33" spans="1:26" s="2" customFormat="1">
      <c r="A33" s="11" t="s">
        <v>101</v>
      </c>
      <c r="B33" s="12">
        <f t="shared" ref="B33:H33" si="30">B32*$K32</f>
        <v>0</v>
      </c>
      <c r="C33" s="12">
        <f t="shared" si="30"/>
        <v>0</v>
      </c>
      <c r="D33" s="12">
        <f t="shared" si="30"/>
        <v>0</v>
      </c>
      <c r="E33" s="12">
        <f t="shared" si="30"/>
        <v>0</v>
      </c>
      <c r="F33" s="12">
        <f t="shared" si="30"/>
        <v>0</v>
      </c>
      <c r="G33" s="12">
        <f t="shared" si="30"/>
        <v>0</v>
      </c>
      <c r="H33" s="12">
        <f t="shared" si="30"/>
        <v>0</v>
      </c>
      <c r="I33" s="13">
        <f t="shared" si="26"/>
        <v>0</v>
      </c>
      <c r="J33" s="12"/>
      <c r="L33" s="17"/>
      <c r="M33" s="16"/>
      <c r="N33" s="11" t="s">
        <v>101</v>
      </c>
      <c r="O33" s="12">
        <f t="shared" ref="O33:U33" si="31">O32*$X32</f>
        <v>0</v>
      </c>
      <c r="P33" s="12">
        <f t="shared" si="31"/>
        <v>0</v>
      </c>
      <c r="Q33" s="12">
        <f t="shared" si="31"/>
        <v>0</v>
      </c>
      <c r="R33" s="12">
        <f t="shared" si="31"/>
        <v>0</v>
      </c>
      <c r="S33" s="12">
        <f t="shared" si="31"/>
        <v>0</v>
      </c>
      <c r="T33" s="12">
        <f t="shared" si="31"/>
        <v>0</v>
      </c>
      <c r="U33" s="12">
        <f t="shared" si="31"/>
        <v>0</v>
      </c>
      <c r="V33" s="13">
        <f t="shared" si="27"/>
        <v>0</v>
      </c>
      <c r="W33" s="12"/>
      <c r="Y33" s="17"/>
      <c r="Z33" s="16"/>
    </row>
    <row r="34" spans="1:26" s="2" customFormat="1">
      <c r="A34" s="18"/>
      <c r="B34" s="19"/>
      <c r="C34" s="19"/>
      <c r="D34" s="19"/>
      <c r="E34" s="19"/>
      <c r="F34" s="19"/>
      <c r="G34" s="19"/>
      <c r="H34" s="19"/>
      <c r="I34" s="20"/>
      <c r="J34" s="12"/>
      <c r="L34" s="17"/>
      <c r="M34" s="16"/>
      <c r="N34" s="18"/>
      <c r="O34" s="19"/>
      <c r="P34" s="19"/>
      <c r="Q34" s="19"/>
      <c r="R34" s="19"/>
      <c r="S34" s="19"/>
      <c r="T34" s="19"/>
      <c r="U34" s="19"/>
      <c r="V34" s="20"/>
      <c r="W34" s="12"/>
      <c r="Y34" s="17"/>
      <c r="Z34" s="16"/>
    </row>
    <row r="35" spans="1:26" s="2" customFormat="1">
      <c r="A35" s="11" t="s">
        <v>102</v>
      </c>
      <c r="B35" s="12"/>
      <c r="C35" s="12">
        <v>2</v>
      </c>
      <c r="D35" s="12">
        <v>2</v>
      </c>
      <c r="E35" s="12">
        <v>2</v>
      </c>
      <c r="F35" s="12">
        <v>2</v>
      </c>
      <c r="G35" s="12"/>
      <c r="H35" s="12"/>
      <c r="I35" s="13">
        <f t="shared" ref="I35:I39" si="32">SUM(B35:H35)</f>
        <v>8</v>
      </c>
      <c r="J35" s="12" t="s">
        <v>72</v>
      </c>
      <c r="K35" s="14"/>
      <c r="L35" s="15">
        <f>I35*K35</f>
        <v>0</v>
      </c>
      <c r="M35" s="16" t="s">
        <v>103</v>
      </c>
      <c r="N35" s="11" t="s">
        <v>102</v>
      </c>
      <c r="O35" s="12"/>
      <c r="P35" s="12">
        <v>2</v>
      </c>
      <c r="Q35" s="12">
        <v>2</v>
      </c>
      <c r="R35" s="12">
        <v>2</v>
      </c>
      <c r="S35" s="12">
        <v>2</v>
      </c>
      <c r="T35" s="12"/>
      <c r="U35" s="12"/>
      <c r="V35" s="13">
        <f t="shared" ref="V35:V39" si="33">SUM(O35:U35)</f>
        <v>8</v>
      </c>
      <c r="W35" s="12" t="s">
        <v>72</v>
      </c>
      <c r="X35" s="14"/>
      <c r="Y35" s="15">
        <f>V35*X35</f>
        <v>0</v>
      </c>
      <c r="Z35" s="16" t="s">
        <v>103</v>
      </c>
    </row>
    <row r="36" spans="1:26" s="2" customFormat="1">
      <c r="A36" s="11" t="s">
        <v>104</v>
      </c>
      <c r="B36" s="12">
        <f t="shared" ref="B36:H36" si="34">B35*$K35</f>
        <v>0</v>
      </c>
      <c r="C36" s="12">
        <f t="shared" si="34"/>
        <v>0</v>
      </c>
      <c r="D36" s="12">
        <f t="shared" si="34"/>
        <v>0</v>
      </c>
      <c r="E36" s="12">
        <f t="shared" si="34"/>
        <v>0</v>
      </c>
      <c r="F36" s="12">
        <f t="shared" si="34"/>
        <v>0</v>
      </c>
      <c r="G36" s="12">
        <f t="shared" si="34"/>
        <v>0</v>
      </c>
      <c r="H36" s="12">
        <f t="shared" si="34"/>
        <v>0</v>
      </c>
      <c r="I36" s="13">
        <f t="shared" si="32"/>
        <v>0</v>
      </c>
      <c r="J36" s="12"/>
      <c r="L36" s="17"/>
      <c r="M36" s="16"/>
      <c r="N36" s="11" t="s">
        <v>104</v>
      </c>
      <c r="O36" s="12">
        <f t="shared" ref="O36:U36" si="35">O35*$X35</f>
        <v>0</v>
      </c>
      <c r="P36" s="12">
        <f t="shared" si="35"/>
        <v>0</v>
      </c>
      <c r="Q36" s="12">
        <f t="shared" si="35"/>
        <v>0</v>
      </c>
      <c r="R36" s="12">
        <f t="shared" si="35"/>
        <v>0</v>
      </c>
      <c r="S36" s="12">
        <f t="shared" si="35"/>
        <v>0</v>
      </c>
      <c r="T36" s="12">
        <f t="shared" si="35"/>
        <v>0</v>
      </c>
      <c r="U36" s="12">
        <f t="shared" si="35"/>
        <v>0</v>
      </c>
      <c r="V36" s="13">
        <f t="shared" si="33"/>
        <v>0</v>
      </c>
      <c r="W36" s="12"/>
      <c r="Y36" s="17"/>
      <c r="Z36" s="16"/>
    </row>
    <row r="37" spans="1:26" s="2" customFormat="1">
      <c r="A37" s="18"/>
      <c r="B37" s="19"/>
      <c r="C37" s="19"/>
      <c r="D37" s="19"/>
      <c r="E37" s="19"/>
      <c r="F37" s="19"/>
      <c r="G37" s="19"/>
      <c r="H37" s="19"/>
      <c r="I37" s="20"/>
      <c r="J37" s="12"/>
      <c r="L37" s="17"/>
      <c r="M37" s="16"/>
      <c r="N37" s="18"/>
      <c r="O37" s="19"/>
      <c r="P37" s="19"/>
      <c r="Q37" s="19"/>
      <c r="R37" s="19"/>
      <c r="S37" s="19"/>
      <c r="T37" s="19"/>
      <c r="U37" s="19"/>
      <c r="V37" s="20"/>
      <c r="W37" s="12"/>
      <c r="Y37" s="17"/>
      <c r="Z37" s="16"/>
    </row>
    <row r="38" spans="1:26" s="2" customFormat="1">
      <c r="A38" s="11" t="s">
        <v>105</v>
      </c>
      <c r="B38" s="12"/>
      <c r="C38" s="12"/>
      <c r="D38" s="12">
        <v>2</v>
      </c>
      <c r="E38" s="12">
        <v>2</v>
      </c>
      <c r="F38" s="12">
        <v>2</v>
      </c>
      <c r="G38" s="12">
        <v>2</v>
      </c>
      <c r="H38" s="12"/>
      <c r="I38" s="13">
        <f t="shared" si="32"/>
        <v>8</v>
      </c>
      <c r="J38" s="12" t="s">
        <v>72</v>
      </c>
      <c r="K38" s="14"/>
      <c r="L38" s="15">
        <f>I38*K38</f>
        <v>0</v>
      </c>
      <c r="M38" s="16" t="s">
        <v>106</v>
      </c>
      <c r="N38" s="11" t="s">
        <v>105</v>
      </c>
      <c r="O38" s="12"/>
      <c r="P38" s="12"/>
      <c r="Q38" s="12">
        <v>2</v>
      </c>
      <c r="R38" s="12">
        <v>2</v>
      </c>
      <c r="S38" s="12">
        <v>2</v>
      </c>
      <c r="T38" s="12">
        <v>2</v>
      </c>
      <c r="U38" s="12"/>
      <c r="V38" s="13">
        <f t="shared" si="33"/>
        <v>8</v>
      </c>
      <c r="W38" s="12" t="s">
        <v>72</v>
      </c>
      <c r="X38" s="14"/>
      <c r="Y38" s="15">
        <f>V38*X38</f>
        <v>0</v>
      </c>
      <c r="Z38" s="16" t="s">
        <v>106</v>
      </c>
    </row>
    <row r="39" spans="1:26" s="2" customFormat="1">
      <c r="A39" s="11" t="s">
        <v>107</v>
      </c>
      <c r="B39" s="12">
        <f t="shared" ref="B39:H39" si="36">B38*$K38</f>
        <v>0</v>
      </c>
      <c r="C39" s="12">
        <f t="shared" si="36"/>
        <v>0</v>
      </c>
      <c r="D39" s="12">
        <f t="shared" si="36"/>
        <v>0</v>
      </c>
      <c r="E39" s="12">
        <f t="shared" si="36"/>
        <v>0</v>
      </c>
      <c r="F39" s="12">
        <f t="shared" si="36"/>
        <v>0</v>
      </c>
      <c r="G39" s="12">
        <f t="shared" si="36"/>
        <v>0</v>
      </c>
      <c r="H39" s="12">
        <f t="shared" si="36"/>
        <v>0</v>
      </c>
      <c r="I39" s="13">
        <f t="shared" si="32"/>
        <v>0</v>
      </c>
      <c r="J39" s="12"/>
      <c r="L39" s="17"/>
      <c r="M39" s="16"/>
      <c r="N39" s="11" t="s">
        <v>107</v>
      </c>
      <c r="O39" s="12">
        <f t="shared" ref="O39:U39" si="37">O38*$X38</f>
        <v>0</v>
      </c>
      <c r="P39" s="12">
        <f t="shared" si="37"/>
        <v>0</v>
      </c>
      <c r="Q39" s="12">
        <f t="shared" si="37"/>
        <v>0</v>
      </c>
      <c r="R39" s="12">
        <f t="shared" si="37"/>
        <v>0</v>
      </c>
      <c r="S39" s="12">
        <f t="shared" si="37"/>
        <v>0</v>
      </c>
      <c r="T39" s="12">
        <f t="shared" si="37"/>
        <v>0</v>
      </c>
      <c r="U39" s="12">
        <f t="shared" si="37"/>
        <v>0</v>
      </c>
      <c r="V39" s="13">
        <f t="shared" si="33"/>
        <v>0</v>
      </c>
      <c r="W39" s="12"/>
      <c r="Y39" s="17"/>
      <c r="Z39" s="16"/>
    </row>
    <row r="40" spans="1:26" s="2" customFormat="1">
      <c r="A40" s="18"/>
      <c r="B40" s="19"/>
      <c r="C40" s="19"/>
      <c r="D40" s="19"/>
      <c r="E40" s="19"/>
      <c r="F40" s="19"/>
      <c r="G40" s="19"/>
      <c r="H40" s="19"/>
      <c r="I40" s="20"/>
      <c r="J40" s="12"/>
      <c r="L40" s="17"/>
      <c r="M40" s="16"/>
      <c r="N40" s="18"/>
      <c r="O40" s="19"/>
      <c r="P40" s="19"/>
      <c r="Q40" s="19"/>
      <c r="R40" s="19"/>
      <c r="S40" s="19"/>
      <c r="T40" s="19"/>
      <c r="U40" s="19"/>
      <c r="V40" s="20"/>
      <c r="W40" s="12"/>
      <c r="Y40" s="17"/>
      <c r="Z40" s="16"/>
    </row>
    <row r="41" spans="1:26" s="2" customFormat="1">
      <c r="A41" s="11" t="s">
        <v>108</v>
      </c>
      <c r="B41" s="12">
        <v>1</v>
      </c>
      <c r="C41" s="12">
        <v>1</v>
      </c>
      <c r="D41" s="12">
        <v>1</v>
      </c>
      <c r="E41" s="12">
        <v>1</v>
      </c>
      <c r="F41" s="12">
        <v>1</v>
      </c>
      <c r="G41" s="12">
        <v>1</v>
      </c>
      <c r="H41" s="12"/>
      <c r="I41" s="13">
        <f t="shared" ref="I41:I45" si="38">SUM(B41:H41)</f>
        <v>6</v>
      </c>
      <c r="J41" s="12" t="s">
        <v>72</v>
      </c>
      <c r="K41" s="14"/>
      <c r="L41" s="15">
        <f>I41*K41</f>
        <v>0</v>
      </c>
      <c r="M41" s="16" t="s">
        <v>109</v>
      </c>
      <c r="N41" s="11" t="s">
        <v>108</v>
      </c>
      <c r="O41" s="12">
        <v>1</v>
      </c>
      <c r="P41" s="12">
        <v>1</v>
      </c>
      <c r="Q41" s="12">
        <v>1</v>
      </c>
      <c r="R41" s="12">
        <v>1</v>
      </c>
      <c r="S41" s="12">
        <v>1</v>
      </c>
      <c r="T41" s="12">
        <v>1</v>
      </c>
      <c r="U41" s="12"/>
      <c r="V41" s="13">
        <f t="shared" ref="V41:V45" si="39">SUM(O41:U41)</f>
        <v>6</v>
      </c>
      <c r="W41" s="12" t="s">
        <v>72</v>
      </c>
      <c r="X41" s="14"/>
      <c r="Y41" s="15">
        <f>V41*X41</f>
        <v>0</v>
      </c>
      <c r="Z41" s="16" t="s">
        <v>109</v>
      </c>
    </row>
    <row r="42" spans="1:26" s="2" customFormat="1">
      <c r="A42" s="11" t="s">
        <v>110</v>
      </c>
      <c r="B42" s="12">
        <f t="shared" ref="B42:H42" si="40">B41*$K41</f>
        <v>0</v>
      </c>
      <c r="C42" s="12">
        <f t="shared" si="40"/>
        <v>0</v>
      </c>
      <c r="D42" s="12">
        <f t="shared" si="40"/>
        <v>0</v>
      </c>
      <c r="E42" s="12">
        <f t="shared" si="40"/>
        <v>0</v>
      </c>
      <c r="F42" s="12">
        <f t="shared" si="40"/>
        <v>0</v>
      </c>
      <c r="G42" s="12">
        <f t="shared" si="40"/>
        <v>0</v>
      </c>
      <c r="H42" s="12">
        <f t="shared" si="40"/>
        <v>0</v>
      </c>
      <c r="I42" s="13">
        <f t="shared" si="38"/>
        <v>0</v>
      </c>
      <c r="J42" s="12"/>
      <c r="L42" s="17"/>
      <c r="M42" s="16"/>
      <c r="N42" s="11" t="s">
        <v>110</v>
      </c>
      <c r="O42" s="12">
        <f t="shared" ref="O42:U42" si="41">O41*$X41</f>
        <v>0</v>
      </c>
      <c r="P42" s="12">
        <f t="shared" si="41"/>
        <v>0</v>
      </c>
      <c r="Q42" s="12">
        <f t="shared" si="41"/>
        <v>0</v>
      </c>
      <c r="R42" s="12">
        <f t="shared" si="41"/>
        <v>0</v>
      </c>
      <c r="S42" s="12">
        <f t="shared" si="41"/>
        <v>0</v>
      </c>
      <c r="T42" s="12">
        <f t="shared" si="41"/>
        <v>0</v>
      </c>
      <c r="U42" s="12">
        <f t="shared" si="41"/>
        <v>0</v>
      </c>
      <c r="V42" s="13">
        <f t="shared" si="39"/>
        <v>0</v>
      </c>
      <c r="W42" s="12"/>
      <c r="Y42" s="17"/>
      <c r="Z42" s="16"/>
    </row>
    <row r="43" spans="1:26" s="2" customFormat="1">
      <c r="A43" s="18"/>
      <c r="B43" s="19"/>
      <c r="C43" s="19"/>
      <c r="D43" s="19"/>
      <c r="E43" s="19"/>
      <c r="F43" s="19"/>
      <c r="G43" s="19"/>
      <c r="H43" s="19"/>
      <c r="I43" s="20"/>
      <c r="J43" s="12"/>
      <c r="L43" s="17"/>
      <c r="M43" s="16"/>
      <c r="N43" s="18"/>
      <c r="O43" s="19"/>
      <c r="P43" s="19"/>
      <c r="Q43" s="19"/>
      <c r="R43" s="19"/>
      <c r="S43" s="19"/>
      <c r="T43" s="19"/>
      <c r="U43" s="19"/>
      <c r="V43" s="20"/>
      <c r="W43" s="12"/>
      <c r="Y43" s="17"/>
      <c r="Z43" s="16"/>
    </row>
    <row r="44" spans="1:26" s="2" customFormat="1">
      <c r="A44" s="11" t="s">
        <v>111</v>
      </c>
      <c r="B44" s="12"/>
      <c r="C44" s="12">
        <v>1</v>
      </c>
      <c r="D44" s="12">
        <v>1</v>
      </c>
      <c r="E44" s="12">
        <v>1</v>
      </c>
      <c r="F44" s="12">
        <v>1</v>
      </c>
      <c r="G44" s="12">
        <v>1</v>
      </c>
      <c r="H44" s="12">
        <v>1</v>
      </c>
      <c r="I44" s="13">
        <f t="shared" si="38"/>
        <v>6</v>
      </c>
      <c r="J44" s="12" t="s">
        <v>72</v>
      </c>
      <c r="K44" s="14"/>
      <c r="L44" s="15">
        <f>I44*K44</f>
        <v>0</v>
      </c>
      <c r="M44" s="16" t="s">
        <v>112</v>
      </c>
      <c r="N44" s="11" t="s">
        <v>111</v>
      </c>
      <c r="O44" s="12"/>
      <c r="P44" s="12">
        <v>1</v>
      </c>
      <c r="Q44" s="12">
        <v>1</v>
      </c>
      <c r="R44" s="12">
        <v>1</v>
      </c>
      <c r="S44" s="12">
        <v>1</v>
      </c>
      <c r="T44" s="12">
        <v>1</v>
      </c>
      <c r="U44" s="12">
        <v>1</v>
      </c>
      <c r="V44" s="13">
        <f t="shared" si="39"/>
        <v>6</v>
      </c>
      <c r="W44" s="12" t="s">
        <v>72</v>
      </c>
      <c r="X44" s="14"/>
      <c r="Y44" s="15">
        <f>V44*X44</f>
        <v>0</v>
      </c>
      <c r="Z44" s="16" t="s">
        <v>112</v>
      </c>
    </row>
    <row r="45" spans="1:26" s="2" customFormat="1">
      <c r="A45" s="11" t="s">
        <v>113</v>
      </c>
      <c r="B45" s="12">
        <f t="shared" ref="B45:H45" si="42">B44*$K44</f>
        <v>0</v>
      </c>
      <c r="C45" s="12">
        <f t="shared" si="42"/>
        <v>0</v>
      </c>
      <c r="D45" s="12">
        <f t="shared" si="42"/>
        <v>0</v>
      </c>
      <c r="E45" s="12">
        <f t="shared" si="42"/>
        <v>0</v>
      </c>
      <c r="F45" s="12">
        <f t="shared" si="42"/>
        <v>0</v>
      </c>
      <c r="G45" s="12">
        <f t="shared" si="42"/>
        <v>0</v>
      </c>
      <c r="H45" s="12">
        <f t="shared" si="42"/>
        <v>0</v>
      </c>
      <c r="I45" s="13">
        <f t="shared" si="38"/>
        <v>0</v>
      </c>
      <c r="J45" s="12"/>
      <c r="L45" s="17"/>
      <c r="M45" s="16"/>
      <c r="N45" s="11" t="s">
        <v>113</v>
      </c>
      <c r="O45" s="12">
        <f t="shared" ref="O45:U45" si="43">O44*$X44</f>
        <v>0</v>
      </c>
      <c r="P45" s="12">
        <f t="shared" si="43"/>
        <v>0</v>
      </c>
      <c r="Q45" s="12">
        <f t="shared" si="43"/>
        <v>0</v>
      </c>
      <c r="R45" s="12">
        <f t="shared" si="43"/>
        <v>0</v>
      </c>
      <c r="S45" s="12">
        <f t="shared" si="43"/>
        <v>0</v>
      </c>
      <c r="T45" s="12">
        <f t="shared" si="43"/>
        <v>0</v>
      </c>
      <c r="U45" s="12">
        <f t="shared" si="43"/>
        <v>0</v>
      </c>
      <c r="V45" s="13">
        <f t="shared" si="39"/>
        <v>0</v>
      </c>
      <c r="W45" s="12"/>
      <c r="Y45" s="17"/>
      <c r="Z45" s="16"/>
    </row>
    <row r="46" spans="1:26" s="2" customFormat="1">
      <c r="A46" s="18"/>
      <c r="B46" s="19"/>
      <c r="C46" s="19"/>
      <c r="D46" s="19"/>
      <c r="E46" s="19"/>
      <c r="F46" s="19"/>
      <c r="G46" s="19"/>
      <c r="H46" s="19"/>
      <c r="I46" s="20"/>
      <c r="J46" s="12"/>
      <c r="L46" s="17"/>
      <c r="M46" s="16"/>
      <c r="N46" s="18"/>
      <c r="O46" s="19"/>
      <c r="P46" s="19"/>
      <c r="Q46" s="19"/>
      <c r="R46" s="19"/>
      <c r="S46" s="19"/>
      <c r="T46" s="19"/>
      <c r="U46" s="19"/>
      <c r="V46" s="20"/>
      <c r="W46" s="12"/>
      <c r="Y46" s="17"/>
      <c r="Z46" s="16"/>
    </row>
    <row r="47" spans="1:26" s="2" customFormat="1">
      <c r="A47" s="11" t="s">
        <v>114</v>
      </c>
      <c r="B47" s="12"/>
      <c r="C47" s="12">
        <v>1</v>
      </c>
      <c r="D47" s="12">
        <v>1</v>
      </c>
      <c r="E47" s="12">
        <v>2</v>
      </c>
      <c r="F47" s="12">
        <v>1</v>
      </c>
      <c r="G47" s="12">
        <v>1</v>
      </c>
      <c r="H47" s="12"/>
      <c r="I47" s="13">
        <f t="shared" ref="I47:I51" si="44">SUM(B47:H47)</f>
        <v>6</v>
      </c>
      <c r="J47" s="12" t="s">
        <v>72</v>
      </c>
      <c r="K47" s="14"/>
      <c r="L47" s="15">
        <f>I47*K47</f>
        <v>0</v>
      </c>
      <c r="M47" s="16" t="s">
        <v>115</v>
      </c>
      <c r="N47" s="11" t="s">
        <v>114</v>
      </c>
      <c r="O47" s="12"/>
      <c r="P47" s="12">
        <v>1</v>
      </c>
      <c r="Q47" s="12">
        <v>1</v>
      </c>
      <c r="R47" s="12">
        <v>2</v>
      </c>
      <c r="S47" s="12">
        <v>1</v>
      </c>
      <c r="T47" s="12">
        <v>1</v>
      </c>
      <c r="U47" s="12"/>
      <c r="V47" s="13">
        <f t="shared" ref="V47:V51" si="45">SUM(O47:U47)</f>
        <v>6</v>
      </c>
      <c r="W47" s="12" t="s">
        <v>72</v>
      </c>
      <c r="X47" s="14"/>
      <c r="Y47" s="15">
        <f>V47*X47</f>
        <v>0</v>
      </c>
      <c r="Z47" s="16" t="s">
        <v>115</v>
      </c>
    </row>
    <row r="48" spans="1:26" s="2" customFormat="1">
      <c r="A48" s="11" t="s">
        <v>116</v>
      </c>
      <c r="B48" s="12">
        <f t="shared" ref="B48:H48" si="46">B47*$K47</f>
        <v>0</v>
      </c>
      <c r="C48" s="12">
        <f t="shared" si="46"/>
        <v>0</v>
      </c>
      <c r="D48" s="12">
        <f t="shared" si="46"/>
        <v>0</v>
      </c>
      <c r="E48" s="12">
        <f t="shared" si="46"/>
        <v>0</v>
      </c>
      <c r="F48" s="12">
        <f t="shared" si="46"/>
        <v>0</v>
      </c>
      <c r="G48" s="12">
        <f t="shared" si="46"/>
        <v>0</v>
      </c>
      <c r="H48" s="12">
        <f t="shared" si="46"/>
        <v>0</v>
      </c>
      <c r="I48" s="13">
        <f t="shared" si="44"/>
        <v>0</v>
      </c>
      <c r="J48" s="12"/>
      <c r="L48" s="17"/>
      <c r="M48" s="16"/>
      <c r="N48" s="11" t="s">
        <v>116</v>
      </c>
      <c r="O48" s="12">
        <f t="shared" ref="O48:U48" si="47">O47*$X47</f>
        <v>0</v>
      </c>
      <c r="P48" s="12">
        <f t="shared" si="47"/>
        <v>0</v>
      </c>
      <c r="Q48" s="12">
        <f t="shared" si="47"/>
        <v>0</v>
      </c>
      <c r="R48" s="12">
        <f t="shared" si="47"/>
        <v>0</v>
      </c>
      <c r="S48" s="12">
        <f t="shared" si="47"/>
        <v>0</v>
      </c>
      <c r="T48" s="12">
        <f t="shared" si="47"/>
        <v>0</v>
      </c>
      <c r="U48" s="12">
        <f t="shared" si="47"/>
        <v>0</v>
      </c>
      <c r="V48" s="13">
        <f t="shared" si="45"/>
        <v>0</v>
      </c>
      <c r="W48" s="12"/>
      <c r="Y48" s="17"/>
      <c r="Z48" s="16"/>
    </row>
    <row r="49" spans="1:26" s="2" customFormat="1">
      <c r="A49" s="18"/>
      <c r="B49" s="19"/>
      <c r="C49" s="19"/>
      <c r="D49" s="19"/>
      <c r="E49" s="19"/>
      <c r="F49" s="19"/>
      <c r="G49" s="19"/>
      <c r="H49" s="19"/>
      <c r="I49" s="20"/>
      <c r="J49" s="12"/>
      <c r="L49" s="17"/>
      <c r="M49" s="16"/>
      <c r="N49" s="18"/>
      <c r="O49" s="19"/>
      <c r="P49" s="19"/>
      <c r="Q49" s="19"/>
      <c r="R49" s="19"/>
      <c r="S49" s="19"/>
      <c r="T49" s="19"/>
      <c r="U49" s="19"/>
      <c r="V49" s="20"/>
      <c r="W49" s="12"/>
      <c r="Y49" s="17"/>
      <c r="Z49" s="16"/>
    </row>
    <row r="50" spans="1:26" s="2" customFormat="1">
      <c r="A50" s="11" t="s">
        <v>117</v>
      </c>
      <c r="B50" s="12"/>
      <c r="C50" s="12">
        <v>1</v>
      </c>
      <c r="D50" s="12">
        <v>2</v>
      </c>
      <c r="E50" s="12">
        <v>2</v>
      </c>
      <c r="F50" s="12">
        <v>1</v>
      </c>
      <c r="G50" s="12"/>
      <c r="H50" s="12"/>
      <c r="I50" s="13">
        <f t="shared" si="44"/>
        <v>6</v>
      </c>
      <c r="J50" s="12" t="s">
        <v>72</v>
      </c>
      <c r="K50" s="14"/>
      <c r="L50" s="15">
        <f>I50*K50</f>
        <v>0</v>
      </c>
      <c r="M50" s="16" t="s">
        <v>118</v>
      </c>
      <c r="N50" s="11" t="s">
        <v>117</v>
      </c>
      <c r="O50" s="12"/>
      <c r="P50" s="12">
        <v>1</v>
      </c>
      <c r="Q50" s="12">
        <v>2</v>
      </c>
      <c r="R50" s="12">
        <v>2</v>
      </c>
      <c r="S50" s="12">
        <v>1</v>
      </c>
      <c r="T50" s="12"/>
      <c r="U50" s="12"/>
      <c r="V50" s="13">
        <f t="shared" si="45"/>
        <v>6</v>
      </c>
      <c r="W50" s="12" t="s">
        <v>72</v>
      </c>
      <c r="X50" s="14"/>
      <c r="Y50" s="15">
        <f>V50*X50</f>
        <v>0</v>
      </c>
      <c r="Z50" s="16" t="s">
        <v>118</v>
      </c>
    </row>
    <row r="51" spans="1:26" s="2" customFormat="1">
      <c r="A51" s="11" t="s">
        <v>119</v>
      </c>
      <c r="B51" s="12">
        <f t="shared" ref="B51:H51" si="48">B50*$K50</f>
        <v>0</v>
      </c>
      <c r="C51" s="12">
        <f t="shared" si="48"/>
        <v>0</v>
      </c>
      <c r="D51" s="12">
        <f t="shared" si="48"/>
        <v>0</v>
      </c>
      <c r="E51" s="12">
        <f t="shared" si="48"/>
        <v>0</v>
      </c>
      <c r="F51" s="12">
        <f t="shared" si="48"/>
        <v>0</v>
      </c>
      <c r="G51" s="12">
        <f t="shared" si="48"/>
        <v>0</v>
      </c>
      <c r="H51" s="12">
        <f t="shared" si="48"/>
        <v>0</v>
      </c>
      <c r="I51" s="13">
        <f t="shared" si="44"/>
        <v>0</v>
      </c>
      <c r="J51" s="12"/>
      <c r="L51" s="17"/>
      <c r="M51" s="16"/>
      <c r="N51" s="11" t="s">
        <v>119</v>
      </c>
      <c r="O51" s="12">
        <f t="shared" ref="O51:U51" si="49">O50*$X50</f>
        <v>0</v>
      </c>
      <c r="P51" s="12">
        <f t="shared" si="49"/>
        <v>0</v>
      </c>
      <c r="Q51" s="12">
        <f t="shared" si="49"/>
        <v>0</v>
      </c>
      <c r="R51" s="12">
        <f t="shared" si="49"/>
        <v>0</v>
      </c>
      <c r="S51" s="12">
        <f t="shared" si="49"/>
        <v>0</v>
      </c>
      <c r="T51" s="12">
        <f t="shared" si="49"/>
        <v>0</v>
      </c>
      <c r="U51" s="12">
        <f t="shared" si="49"/>
        <v>0</v>
      </c>
      <c r="V51" s="13">
        <f t="shared" si="45"/>
        <v>0</v>
      </c>
      <c r="W51" s="12"/>
      <c r="Y51" s="17"/>
      <c r="Z51" s="16"/>
    </row>
    <row r="52" spans="1:26" s="2" customFormat="1">
      <c r="A52" s="18"/>
      <c r="B52" s="19"/>
      <c r="C52" s="19"/>
      <c r="D52" s="19"/>
      <c r="E52" s="19"/>
      <c r="F52" s="19"/>
      <c r="G52" s="19"/>
      <c r="H52" s="19"/>
      <c r="I52" s="20"/>
      <c r="J52" s="12"/>
      <c r="L52" s="17"/>
      <c r="M52" s="16"/>
      <c r="N52" s="18"/>
      <c r="O52" s="19"/>
      <c r="P52" s="19"/>
      <c r="Q52" s="19"/>
      <c r="R52" s="19"/>
      <c r="S52" s="19"/>
      <c r="T52" s="19"/>
      <c r="U52" s="19"/>
      <c r="V52" s="20"/>
      <c r="W52" s="12"/>
      <c r="Y52" s="17"/>
      <c r="Z52" s="16"/>
    </row>
    <row r="53" spans="1:26" s="2" customFormat="1">
      <c r="A53" s="11" t="s">
        <v>120</v>
      </c>
      <c r="B53" s="12"/>
      <c r="C53" s="12"/>
      <c r="D53" s="12">
        <v>1</v>
      </c>
      <c r="E53" s="12">
        <v>2</v>
      </c>
      <c r="F53" s="12">
        <v>2</v>
      </c>
      <c r="G53" s="12">
        <v>1</v>
      </c>
      <c r="H53" s="12"/>
      <c r="I53" s="13">
        <f t="shared" ref="I53:I57" si="50">SUM(B53:H53)</f>
        <v>6</v>
      </c>
      <c r="J53" s="12" t="s">
        <v>72</v>
      </c>
      <c r="K53" s="14"/>
      <c r="L53" s="15">
        <f>I53*K53</f>
        <v>0</v>
      </c>
      <c r="M53" s="16" t="s">
        <v>121</v>
      </c>
      <c r="N53" s="11" t="s">
        <v>120</v>
      </c>
      <c r="O53" s="12"/>
      <c r="P53" s="12"/>
      <c r="Q53" s="12">
        <v>1</v>
      </c>
      <c r="R53" s="12">
        <v>2</v>
      </c>
      <c r="S53" s="12">
        <v>2</v>
      </c>
      <c r="T53" s="12">
        <v>1</v>
      </c>
      <c r="U53" s="12"/>
      <c r="V53" s="13">
        <f t="shared" ref="V53:V57" si="51">SUM(O53:U53)</f>
        <v>6</v>
      </c>
      <c r="W53" s="12" t="s">
        <v>72</v>
      </c>
      <c r="X53" s="14"/>
      <c r="Y53" s="15">
        <f>V53*X53</f>
        <v>0</v>
      </c>
      <c r="Z53" s="16" t="s">
        <v>121</v>
      </c>
    </row>
    <row r="54" spans="1:26" s="2" customFormat="1">
      <c r="A54" s="11" t="s">
        <v>122</v>
      </c>
      <c r="B54" s="12">
        <f t="shared" ref="B54:H54" si="52">B53*$K53</f>
        <v>0</v>
      </c>
      <c r="C54" s="12">
        <f t="shared" si="52"/>
        <v>0</v>
      </c>
      <c r="D54" s="12">
        <f t="shared" si="52"/>
        <v>0</v>
      </c>
      <c r="E54" s="12">
        <f t="shared" si="52"/>
        <v>0</v>
      </c>
      <c r="F54" s="12">
        <f t="shared" si="52"/>
        <v>0</v>
      </c>
      <c r="G54" s="12">
        <f t="shared" si="52"/>
        <v>0</v>
      </c>
      <c r="H54" s="12">
        <f t="shared" si="52"/>
        <v>0</v>
      </c>
      <c r="I54" s="13">
        <f t="shared" si="50"/>
        <v>0</v>
      </c>
      <c r="J54" s="12"/>
      <c r="L54" s="17"/>
      <c r="M54" s="16"/>
      <c r="N54" s="11" t="s">
        <v>122</v>
      </c>
      <c r="O54" s="12">
        <f t="shared" ref="O54:U54" si="53">O53*$X53</f>
        <v>0</v>
      </c>
      <c r="P54" s="12">
        <f t="shared" si="53"/>
        <v>0</v>
      </c>
      <c r="Q54" s="12">
        <f t="shared" si="53"/>
        <v>0</v>
      </c>
      <c r="R54" s="12">
        <f t="shared" si="53"/>
        <v>0</v>
      </c>
      <c r="S54" s="12">
        <f t="shared" si="53"/>
        <v>0</v>
      </c>
      <c r="T54" s="12">
        <f t="shared" si="53"/>
        <v>0</v>
      </c>
      <c r="U54" s="12">
        <f t="shared" si="53"/>
        <v>0</v>
      </c>
      <c r="V54" s="13">
        <f t="shared" si="51"/>
        <v>0</v>
      </c>
      <c r="W54" s="12"/>
      <c r="Y54" s="17"/>
      <c r="Z54" s="16"/>
    </row>
    <row r="55" spans="1:26" s="2" customFormat="1">
      <c r="A55" s="18"/>
      <c r="B55" s="19"/>
      <c r="C55" s="19"/>
      <c r="D55" s="19"/>
      <c r="E55" s="19"/>
      <c r="F55" s="19"/>
      <c r="G55" s="19"/>
      <c r="H55" s="19"/>
      <c r="I55" s="20"/>
      <c r="J55" s="12"/>
      <c r="L55" s="17"/>
      <c r="M55" s="16"/>
      <c r="N55" s="18"/>
      <c r="O55" s="19"/>
      <c r="P55" s="19"/>
      <c r="Q55" s="19"/>
      <c r="R55" s="19"/>
      <c r="S55" s="19"/>
      <c r="T55" s="19"/>
      <c r="U55" s="19"/>
      <c r="V55" s="20"/>
      <c r="W55" s="12"/>
      <c r="Y55" s="17"/>
      <c r="Z55" s="16"/>
    </row>
    <row r="56" spans="1:26" s="2" customFormat="1">
      <c r="A56" s="11" t="s">
        <v>123</v>
      </c>
      <c r="B56" s="12"/>
      <c r="C56" s="12">
        <v>1</v>
      </c>
      <c r="D56" s="12">
        <v>1</v>
      </c>
      <c r="E56" s="12">
        <v>1</v>
      </c>
      <c r="F56" s="12">
        <v>1</v>
      </c>
      <c r="G56" s="12"/>
      <c r="H56" s="12"/>
      <c r="I56" s="13">
        <f t="shared" si="50"/>
        <v>4</v>
      </c>
      <c r="J56" s="12" t="s">
        <v>72</v>
      </c>
      <c r="K56" s="14"/>
      <c r="L56" s="15">
        <f>I56*K56</f>
        <v>0</v>
      </c>
      <c r="M56" s="16" t="s">
        <v>124</v>
      </c>
      <c r="N56" s="11" t="s">
        <v>123</v>
      </c>
      <c r="O56" s="12"/>
      <c r="P56" s="12">
        <v>1</v>
      </c>
      <c r="Q56" s="12">
        <v>1</v>
      </c>
      <c r="R56" s="12">
        <v>1</v>
      </c>
      <c r="S56" s="12">
        <v>1</v>
      </c>
      <c r="T56" s="12"/>
      <c r="U56" s="12"/>
      <c r="V56" s="13">
        <f t="shared" si="51"/>
        <v>4</v>
      </c>
      <c r="W56" s="12" t="s">
        <v>72</v>
      </c>
      <c r="X56" s="14"/>
      <c r="Y56" s="15">
        <f>V56*X56</f>
        <v>0</v>
      </c>
      <c r="Z56" s="16" t="s">
        <v>124</v>
      </c>
    </row>
    <row r="57" spans="1:26" s="2" customFormat="1">
      <c r="A57" s="11" t="s">
        <v>125</v>
      </c>
      <c r="B57" s="12">
        <f t="shared" ref="B57:H57" si="54">B56*$K56</f>
        <v>0</v>
      </c>
      <c r="C57" s="12">
        <f t="shared" si="54"/>
        <v>0</v>
      </c>
      <c r="D57" s="12">
        <f t="shared" si="54"/>
        <v>0</v>
      </c>
      <c r="E57" s="12">
        <f t="shared" si="54"/>
        <v>0</v>
      </c>
      <c r="F57" s="12">
        <f t="shared" si="54"/>
        <v>0</v>
      </c>
      <c r="G57" s="12">
        <f t="shared" si="54"/>
        <v>0</v>
      </c>
      <c r="H57" s="12">
        <f t="shared" si="54"/>
        <v>0</v>
      </c>
      <c r="I57" s="13">
        <f t="shared" si="50"/>
        <v>0</v>
      </c>
      <c r="J57" s="12"/>
      <c r="L57" s="17"/>
      <c r="M57" s="16"/>
      <c r="N57" s="11" t="s">
        <v>125</v>
      </c>
      <c r="O57" s="12">
        <f t="shared" ref="O57:U57" si="55">O56*$X56</f>
        <v>0</v>
      </c>
      <c r="P57" s="12">
        <f t="shared" si="55"/>
        <v>0</v>
      </c>
      <c r="Q57" s="12">
        <f t="shared" si="55"/>
        <v>0</v>
      </c>
      <c r="R57" s="12">
        <f t="shared" si="55"/>
        <v>0</v>
      </c>
      <c r="S57" s="12">
        <f t="shared" si="55"/>
        <v>0</v>
      </c>
      <c r="T57" s="12">
        <f t="shared" si="55"/>
        <v>0</v>
      </c>
      <c r="U57" s="12">
        <f t="shared" si="55"/>
        <v>0</v>
      </c>
      <c r="V57" s="13">
        <f t="shared" si="51"/>
        <v>0</v>
      </c>
      <c r="W57" s="12"/>
      <c r="Y57" s="17"/>
      <c r="Z57" s="16"/>
    </row>
    <row r="58" spans="1:26" s="2" customFormat="1">
      <c r="A58" s="18"/>
      <c r="B58" s="19"/>
      <c r="C58" s="19"/>
      <c r="D58" s="19"/>
      <c r="E58" s="19"/>
      <c r="F58" s="19"/>
      <c r="G58" s="19"/>
      <c r="H58" s="19"/>
      <c r="I58" s="20"/>
      <c r="J58" s="12"/>
      <c r="L58" s="17"/>
      <c r="M58" s="16"/>
      <c r="N58" s="18"/>
      <c r="O58" s="19"/>
      <c r="P58" s="19"/>
      <c r="Q58" s="19"/>
      <c r="R58" s="19"/>
      <c r="S58" s="19"/>
      <c r="T58" s="19"/>
      <c r="U58" s="19"/>
      <c r="V58" s="20"/>
      <c r="W58" s="12"/>
      <c r="Y58" s="17"/>
      <c r="Z58" s="16"/>
    </row>
    <row r="59" spans="1:26" s="2" customFormat="1">
      <c r="A59" s="11" t="s">
        <v>126</v>
      </c>
      <c r="B59" s="12"/>
      <c r="C59" s="12"/>
      <c r="D59" s="12">
        <v>1</v>
      </c>
      <c r="E59" s="12">
        <v>1</v>
      </c>
      <c r="F59" s="12">
        <v>1</v>
      </c>
      <c r="G59" s="12">
        <v>1</v>
      </c>
      <c r="H59" s="12"/>
      <c r="I59" s="13">
        <f>SUM(B59:H59)</f>
        <v>4</v>
      </c>
      <c r="J59" s="12" t="s">
        <v>72</v>
      </c>
      <c r="K59" s="14"/>
      <c r="L59" s="15">
        <f>I59*K59</f>
        <v>0</v>
      </c>
      <c r="M59" s="16" t="s">
        <v>127</v>
      </c>
      <c r="N59" s="11" t="s">
        <v>126</v>
      </c>
      <c r="O59" s="12"/>
      <c r="P59" s="12"/>
      <c r="Q59" s="12">
        <v>1</v>
      </c>
      <c r="R59" s="12">
        <v>1</v>
      </c>
      <c r="S59" s="12">
        <v>1</v>
      </c>
      <c r="T59" s="12">
        <v>1</v>
      </c>
      <c r="U59" s="12"/>
      <c r="V59" s="13">
        <f>SUM(O59:U59)</f>
        <v>4</v>
      </c>
      <c r="W59" s="12" t="s">
        <v>72</v>
      </c>
      <c r="X59" s="14"/>
      <c r="Y59" s="15">
        <f>V59*X59</f>
        <v>0</v>
      </c>
      <c r="Z59" s="16" t="s">
        <v>127</v>
      </c>
    </row>
    <row r="60" spans="1:26" s="2" customFormat="1">
      <c r="A60" s="11" t="s">
        <v>128</v>
      </c>
      <c r="B60" s="12">
        <f t="shared" ref="B60:H60" si="56">B59*$K59</f>
        <v>0</v>
      </c>
      <c r="C60" s="12">
        <f t="shared" si="56"/>
        <v>0</v>
      </c>
      <c r="D60" s="12">
        <f t="shared" si="56"/>
        <v>0</v>
      </c>
      <c r="E60" s="12">
        <f t="shared" si="56"/>
        <v>0</v>
      </c>
      <c r="F60" s="12">
        <f t="shared" si="56"/>
        <v>0</v>
      </c>
      <c r="G60" s="12">
        <f t="shared" si="56"/>
        <v>0</v>
      </c>
      <c r="H60" s="12">
        <f t="shared" si="56"/>
        <v>0</v>
      </c>
      <c r="I60" s="13">
        <f>SUM(B60:H60)</f>
        <v>0</v>
      </c>
      <c r="J60" s="12"/>
      <c r="L60" s="17"/>
      <c r="M60" s="16"/>
      <c r="N60" s="11" t="s">
        <v>128</v>
      </c>
      <c r="O60" s="12">
        <f t="shared" ref="O60:U60" si="57">O59*$X59</f>
        <v>0</v>
      </c>
      <c r="P60" s="12">
        <f t="shared" si="57"/>
        <v>0</v>
      </c>
      <c r="Q60" s="12">
        <f t="shared" si="57"/>
        <v>0</v>
      </c>
      <c r="R60" s="12">
        <f t="shared" si="57"/>
        <v>0</v>
      </c>
      <c r="S60" s="12">
        <f t="shared" si="57"/>
        <v>0</v>
      </c>
      <c r="T60" s="12">
        <f t="shared" si="57"/>
        <v>0</v>
      </c>
      <c r="U60" s="12">
        <f t="shared" si="57"/>
        <v>0</v>
      </c>
      <c r="V60" s="13">
        <f>SUM(O60:U60)</f>
        <v>0</v>
      </c>
      <c r="W60" s="12"/>
      <c r="Y60" s="17"/>
      <c r="Z60" s="16"/>
    </row>
    <row r="61" spans="1:26" s="2" customFormat="1">
      <c r="A61" s="18"/>
      <c r="B61" s="19"/>
      <c r="C61" s="19"/>
      <c r="D61" s="19"/>
      <c r="E61" s="19"/>
      <c r="F61" s="19"/>
      <c r="G61" s="19"/>
      <c r="H61" s="19"/>
      <c r="I61" s="20"/>
      <c r="J61" s="12"/>
      <c r="L61" s="17"/>
      <c r="M61" s="16"/>
      <c r="N61" s="18"/>
      <c r="O61" s="19"/>
      <c r="P61" s="19"/>
      <c r="Q61" s="19"/>
      <c r="R61" s="19"/>
      <c r="S61" s="19"/>
      <c r="T61" s="19"/>
      <c r="U61" s="19"/>
      <c r="V61" s="20"/>
      <c r="W61" s="12"/>
      <c r="Y61" s="17"/>
      <c r="Z61" s="16"/>
    </row>
    <row r="62" spans="1:26" s="2" customFormat="1" ht="12.75" customHeight="1">
      <c r="A62" s="23" t="s">
        <v>129</v>
      </c>
      <c r="B62" s="24">
        <f t="shared" ref="B62:H62" si="58">SUM(B6,B9,B12,B15,B18,B21,B24,B27,B30,B33,B36,B39,B42,B45,B48,B51,B54,B57,B60)</f>
        <v>0</v>
      </c>
      <c r="C62" s="24">
        <f t="shared" si="58"/>
        <v>0</v>
      </c>
      <c r="D62" s="24">
        <f t="shared" si="58"/>
        <v>0</v>
      </c>
      <c r="E62" s="24">
        <f t="shared" si="58"/>
        <v>0</v>
      </c>
      <c r="F62" s="24">
        <f t="shared" si="58"/>
        <v>0</v>
      </c>
      <c r="G62" s="24">
        <f t="shared" si="58"/>
        <v>0</v>
      </c>
      <c r="H62" s="24">
        <f t="shared" si="58"/>
        <v>0</v>
      </c>
      <c r="I62" s="24">
        <f>SUM(I6,I9,I12,I15,I18,I21,I24,I27,I30,I33,I36,I39,I42,I45)</f>
        <v>0</v>
      </c>
      <c r="J62" s="12"/>
      <c r="K62" s="25">
        <f>SUM(K5:K61)</f>
        <v>0</v>
      </c>
      <c r="L62" s="26">
        <f>SUM(L5:L61)</f>
        <v>0</v>
      </c>
      <c r="M62" s="16"/>
      <c r="N62" s="23" t="s">
        <v>129</v>
      </c>
      <c r="O62" s="24">
        <f t="shared" ref="O62:U62" si="59">SUM(O6,O9,O12,O15,O18,O21,O24,O27,O30,O33,O36,O39,O42,O45,O48,O51,O54,O57,O60)</f>
        <v>0</v>
      </c>
      <c r="P62" s="24">
        <f t="shared" si="59"/>
        <v>0</v>
      </c>
      <c r="Q62" s="24">
        <f t="shared" si="59"/>
        <v>0</v>
      </c>
      <c r="R62" s="24">
        <f t="shared" si="59"/>
        <v>0</v>
      </c>
      <c r="S62" s="24">
        <f t="shared" si="59"/>
        <v>0</v>
      </c>
      <c r="T62" s="24">
        <f t="shared" si="59"/>
        <v>0</v>
      </c>
      <c r="U62" s="24">
        <f t="shared" si="59"/>
        <v>0</v>
      </c>
      <c r="V62" s="24">
        <f>SUM(V6,V9,V12,V15,V18,V21,V24,V27,V30,V33,V36,V39,V42,V45)</f>
        <v>0</v>
      </c>
      <c r="W62" s="12"/>
      <c r="X62" s="25">
        <f>SUM(X5:X61)</f>
        <v>0</v>
      </c>
      <c r="Y62" s="27">
        <f>SUM(Y5:Y61)</f>
        <v>0</v>
      </c>
      <c r="Z62" s="16"/>
    </row>
    <row r="63" spans="1:26">
      <c r="A63" s="28"/>
      <c r="B63" s="29" t="e">
        <f>B62/I62</f>
        <v>#DIV/0!</v>
      </c>
      <c r="C63" s="29" t="e">
        <f>C62/I62</f>
        <v>#DIV/0!</v>
      </c>
      <c r="D63" s="29" t="e">
        <f>D62/I62</f>
        <v>#DIV/0!</v>
      </c>
      <c r="E63" s="29" t="e">
        <f>E62/I62</f>
        <v>#DIV/0!</v>
      </c>
      <c r="F63" s="29" t="e">
        <f>F62/I62</f>
        <v>#DIV/0!</v>
      </c>
      <c r="G63" s="29" t="e">
        <f>G62/I62</f>
        <v>#DIV/0!</v>
      </c>
      <c r="H63" s="29" t="e">
        <f>H62/I62</f>
        <v>#DIV/0!</v>
      </c>
      <c r="J63" s="5"/>
      <c r="N63" s="28"/>
      <c r="O63" s="29" t="e">
        <f>O62/V62</f>
        <v>#DIV/0!</v>
      </c>
      <c r="P63" s="29" t="e">
        <f>P62/V62</f>
        <v>#DIV/0!</v>
      </c>
      <c r="Q63" s="29" t="e">
        <f>Q62/V62</f>
        <v>#DIV/0!</v>
      </c>
      <c r="R63" s="29" t="e">
        <f>R62/V62</f>
        <v>#DIV/0!</v>
      </c>
      <c r="S63" s="29" t="e">
        <f>S62/V62</f>
        <v>#DIV/0!</v>
      </c>
      <c r="T63" s="29" t="e">
        <f>T62/V62</f>
        <v>#DIV/0!</v>
      </c>
      <c r="U63" s="29" t="e">
        <f>U62/V62</f>
        <v>#DIV/0!</v>
      </c>
      <c r="W63" s="5"/>
      <c r="Z63" s="3"/>
    </row>
    <row r="64" spans="1:26">
      <c r="I64" s="30"/>
    </row>
    <row r="65" spans="1:26">
      <c r="B65" s="30"/>
      <c r="C65" s="30"/>
      <c r="D65" s="30"/>
      <c r="E65" s="30"/>
      <c r="F65" s="30"/>
      <c r="G65" s="30"/>
      <c r="H65" s="30"/>
    </row>
    <row r="67" spans="1:26" ht="18">
      <c r="A67" s="6" t="str">
        <f>A3</f>
        <v>VEYLIN</v>
      </c>
      <c r="B67" s="31"/>
      <c r="C67" s="5"/>
      <c r="D67" s="5"/>
      <c r="E67" s="5"/>
      <c r="F67" s="5"/>
      <c r="G67" s="5"/>
      <c r="H67" s="5"/>
      <c r="J67" s="5"/>
      <c r="N67" s="6" t="str">
        <f>A3</f>
        <v>VEYLIN</v>
      </c>
      <c r="O67" s="31"/>
      <c r="P67" s="5"/>
      <c r="Q67" s="5"/>
      <c r="R67" s="5"/>
      <c r="S67" s="5"/>
      <c r="T67" s="5"/>
      <c r="U67" s="5"/>
      <c r="W67" s="5"/>
      <c r="Z67" s="3"/>
    </row>
    <row r="68" spans="1:26">
      <c r="A68" s="8">
        <f>'CONFIRMED PO'!D13</f>
        <v>0</v>
      </c>
      <c r="B68" s="9">
        <f>B4</f>
        <v>35</v>
      </c>
      <c r="C68" s="9">
        <f t="shared" ref="C68:H68" si="60">B68+1</f>
        <v>36</v>
      </c>
      <c r="D68" s="9">
        <f t="shared" si="60"/>
        <v>37</v>
      </c>
      <c r="E68" s="9">
        <f t="shared" si="60"/>
        <v>38</v>
      </c>
      <c r="F68" s="9">
        <f t="shared" si="60"/>
        <v>39</v>
      </c>
      <c r="G68" s="9">
        <f t="shared" si="60"/>
        <v>40</v>
      </c>
      <c r="H68" s="9">
        <f t="shared" si="60"/>
        <v>41</v>
      </c>
      <c r="I68" s="10"/>
      <c r="J68" s="5"/>
      <c r="K68" s="5" t="s">
        <v>69</v>
      </c>
      <c r="L68" s="5" t="s">
        <v>70</v>
      </c>
      <c r="N68" s="8">
        <f>'CONFIRMED PO'!D14</f>
        <v>0</v>
      </c>
      <c r="O68" s="9">
        <f>O4</f>
        <v>35</v>
      </c>
      <c r="P68" s="9">
        <f t="shared" ref="P68:U68" si="61">O68+1</f>
        <v>36</v>
      </c>
      <c r="Q68" s="9">
        <f t="shared" si="61"/>
        <v>37</v>
      </c>
      <c r="R68" s="9">
        <f t="shared" si="61"/>
        <v>38</v>
      </c>
      <c r="S68" s="9">
        <f t="shared" si="61"/>
        <v>39</v>
      </c>
      <c r="T68" s="9">
        <f t="shared" si="61"/>
        <v>40</v>
      </c>
      <c r="U68" s="9">
        <f t="shared" si="61"/>
        <v>41</v>
      </c>
      <c r="V68" s="10"/>
      <c r="W68" s="5"/>
      <c r="X68" s="5" t="s">
        <v>69</v>
      </c>
      <c r="Y68" s="5" t="s">
        <v>70</v>
      </c>
      <c r="Z68" s="3"/>
    </row>
    <row r="69" spans="1:26" s="2" customFormat="1">
      <c r="A69" s="11" t="s">
        <v>71</v>
      </c>
      <c r="B69" s="12">
        <v>1</v>
      </c>
      <c r="C69" s="12">
        <v>2</v>
      </c>
      <c r="D69" s="12">
        <v>3</v>
      </c>
      <c r="E69" s="12">
        <v>3</v>
      </c>
      <c r="F69" s="12">
        <v>2</v>
      </c>
      <c r="G69" s="12">
        <v>1</v>
      </c>
      <c r="H69" s="12"/>
      <c r="I69" s="13">
        <f t="shared" ref="I69:I73" si="62">SUM(B69:H69)</f>
        <v>12</v>
      </c>
      <c r="J69" s="12" t="s">
        <v>72</v>
      </c>
      <c r="K69" s="14"/>
      <c r="L69" s="15">
        <f>I69*K69</f>
        <v>0</v>
      </c>
      <c r="M69" s="16" t="s">
        <v>73</v>
      </c>
      <c r="N69" s="11" t="s">
        <v>71</v>
      </c>
      <c r="O69" s="12">
        <v>1</v>
      </c>
      <c r="P69" s="12">
        <v>2</v>
      </c>
      <c r="Q69" s="12">
        <v>3</v>
      </c>
      <c r="R69" s="12">
        <v>3</v>
      </c>
      <c r="S69" s="12">
        <v>2</v>
      </c>
      <c r="T69" s="12">
        <v>1</v>
      </c>
      <c r="U69" s="12"/>
      <c r="V69" s="13">
        <f t="shared" ref="V69:V73" si="63">SUM(O69:U69)</f>
        <v>12</v>
      </c>
      <c r="W69" s="12" t="s">
        <v>72</v>
      </c>
      <c r="X69" s="14"/>
      <c r="Y69" s="15">
        <f>V69*X69</f>
        <v>0</v>
      </c>
      <c r="Z69" s="16" t="s">
        <v>73</v>
      </c>
    </row>
    <row r="70" spans="1:26" s="2" customFormat="1">
      <c r="A70" s="11" t="s">
        <v>74</v>
      </c>
      <c r="B70" s="12">
        <f t="shared" ref="B70:H70" si="64">B69*$K69</f>
        <v>0</v>
      </c>
      <c r="C70" s="12">
        <f t="shared" si="64"/>
        <v>0</v>
      </c>
      <c r="D70" s="12">
        <f t="shared" si="64"/>
        <v>0</v>
      </c>
      <c r="E70" s="12">
        <f t="shared" si="64"/>
        <v>0</v>
      </c>
      <c r="F70" s="12">
        <f t="shared" si="64"/>
        <v>0</v>
      </c>
      <c r="G70" s="12">
        <f t="shared" si="64"/>
        <v>0</v>
      </c>
      <c r="H70" s="12">
        <f t="shared" si="64"/>
        <v>0</v>
      </c>
      <c r="I70" s="13">
        <f t="shared" si="62"/>
        <v>0</v>
      </c>
      <c r="J70" s="12"/>
      <c r="L70" s="17"/>
      <c r="M70" s="16"/>
      <c r="N70" s="11" t="s">
        <v>74</v>
      </c>
      <c r="O70" s="12">
        <f t="shared" ref="O70:U70" si="65">O69*$X69</f>
        <v>0</v>
      </c>
      <c r="P70" s="12">
        <f t="shared" si="65"/>
        <v>0</v>
      </c>
      <c r="Q70" s="12">
        <f t="shared" si="65"/>
        <v>0</v>
      </c>
      <c r="R70" s="12">
        <f t="shared" si="65"/>
        <v>0</v>
      </c>
      <c r="S70" s="12">
        <f t="shared" si="65"/>
        <v>0</v>
      </c>
      <c r="T70" s="12">
        <f t="shared" si="65"/>
        <v>0</v>
      </c>
      <c r="U70" s="12">
        <f t="shared" si="65"/>
        <v>0</v>
      </c>
      <c r="V70" s="13">
        <f t="shared" si="63"/>
        <v>0</v>
      </c>
      <c r="W70" s="12"/>
      <c r="Y70" s="17"/>
      <c r="Z70" s="16"/>
    </row>
    <row r="71" spans="1:26" s="2" customFormat="1">
      <c r="A71" s="18"/>
      <c r="B71" s="19"/>
      <c r="C71" s="19"/>
      <c r="D71" s="19"/>
      <c r="E71" s="19"/>
      <c r="F71" s="19"/>
      <c r="G71" s="19"/>
      <c r="H71" s="19"/>
      <c r="I71" s="20"/>
      <c r="J71" s="12"/>
      <c r="L71" s="17"/>
      <c r="M71" s="16"/>
      <c r="N71" s="18"/>
      <c r="O71" s="19"/>
      <c r="P71" s="19"/>
      <c r="Q71" s="19"/>
      <c r="R71" s="19"/>
      <c r="S71" s="19"/>
      <c r="T71" s="19"/>
      <c r="U71" s="19"/>
      <c r="V71" s="20"/>
      <c r="W71" s="12"/>
      <c r="Y71" s="17"/>
      <c r="Z71" s="16"/>
    </row>
    <row r="72" spans="1:26" s="2" customFormat="1">
      <c r="A72" s="11" t="s">
        <v>75</v>
      </c>
      <c r="B72" s="12"/>
      <c r="C72" s="12">
        <v>1</v>
      </c>
      <c r="D72" s="12">
        <v>2</v>
      </c>
      <c r="E72" s="12">
        <v>3</v>
      </c>
      <c r="F72" s="12">
        <v>3</v>
      </c>
      <c r="G72" s="12">
        <v>2</v>
      </c>
      <c r="H72" s="12">
        <v>1</v>
      </c>
      <c r="I72" s="13">
        <f t="shared" si="62"/>
        <v>12</v>
      </c>
      <c r="J72" s="12" t="s">
        <v>72</v>
      </c>
      <c r="K72" s="14"/>
      <c r="L72" s="15">
        <f>I72*K72</f>
        <v>0</v>
      </c>
      <c r="M72" s="16" t="s">
        <v>76</v>
      </c>
      <c r="N72" s="11" t="s">
        <v>75</v>
      </c>
      <c r="O72" s="12"/>
      <c r="P72" s="12">
        <v>1</v>
      </c>
      <c r="Q72" s="12">
        <v>2</v>
      </c>
      <c r="R72" s="12">
        <v>3</v>
      </c>
      <c r="S72" s="12">
        <v>3</v>
      </c>
      <c r="T72" s="12">
        <v>2</v>
      </c>
      <c r="U72" s="12">
        <v>1</v>
      </c>
      <c r="V72" s="13">
        <f t="shared" si="63"/>
        <v>12</v>
      </c>
      <c r="W72" s="12" t="s">
        <v>72</v>
      </c>
      <c r="X72" s="14"/>
      <c r="Y72" s="15">
        <f>V72*X72</f>
        <v>0</v>
      </c>
      <c r="Z72" s="16" t="s">
        <v>76</v>
      </c>
    </row>
    <row r="73" spans="1:26" s="2" customFormat="1">
      <c r="A73" s="11" t="s">
        <v>77</v>
      </c>
      <c r="B73" s="12">
        <f t="shared" ref="B73:H73" si="66">B72*$K72</f>
        <v>0</v>
      </c>
      <c r="C73" s="12">
        <f t="shared" si="66"/>
        <v>0</v>
      </c>
      <c r="D73" s="12">
        <f t="shared" si="66"/>
        <v>0</v>
      </c>
      <c r="E73" s="12">
        <f t="shared" si="66"/>
        <v>0</v>
      </c>
      <c r="F73" s="12">
        <f t="shared" si="66"/>
        <v>0</v>
      </c>
      <c r="G73" s="12">
        <f t="shared" si="66"/>
        <v>0</v>
      </c>
      <c r="H73" s="12">
        <f t="shared" si="66"/>
        <v>0</v>
      </c>
      <c r="I73" s="13">
        <f t="shared" si="62"/>
        <v>0</v>
      </c>
      <c r="J73" s="12"/>
      <c r="L73" s="17"/>
      <c r="M73" s="16"/>
      <c r="N73" s="11" t="s">
        <v>77</v>
      </c>
      <c r="O73" s="12">
        <f t="shared" ref="O73:U73" si="67">O72*$X72</f>
        <v>0</v>
      </c>
      <c r="P73" s="12">
        <f t="shared" si="67"/>
        <v>0</v>
      </c>
      <c r="Q73" s="12">
        <f t="shared" si="67"/>
        <v>0</v>
      </c>
      <c r="R73" s="12">
        <f t="shared" si="67"/>
        <v>0</v>
      </c>
      <c r="S73" s="12">
        <f t="shared" si="67"/>
        <v>0</v>
      </c>
      <c r="T73" s="12">
        <f t="shared" si="67"/>
        <v>0</v>
      </c>
      <c r="U73" s="12">
        <f t="shared" si="67"/>
        <v>0</v>
      </c>
      <c r="V73" s="13">
        <f t="shared" si="63"/>
        <v>0</v>
      </c>
      <c r="W73" s="12"/>
      <c r="Y73" s="17"/>
      <c r="Z73" s="16"/>
    </row>
    <row r="74" spans="1:26" s="2" customFormat="1">
      <c r="A74" s="18"/>
      <c r="B74" s="19"/>
      <c r="C74" s="19"/>
      <c r="D74" s="19"/>
      <c r="E74" s="19"/>
      <c r="F74" s="19"/>
      <c r="G74" s="19"/>
      <c r="H74" s="19"/>
      <c r="I74" s="21"/>
      <c r="J74" s="12"/>
      <c r="L74" s="17"/>
      <c r="M74" s="16"/>
      <c r="N74" s="18"/>
      <c r="O74" s="19"/>
      <c r="P74" s="19"/>
      <c r="Q74" s="19"/>
      <c r="R74" s="19"/>
      <c r="S74" s="19"/>
      <c r="T74" s="19"/>
      <c r="U74" s="19"/>
      <c r="V74" s="21"/>
      <c r="W74" s="12"/>
      <c r="Y74" s="17"/>
      <c r="Z74" s="16"/>
    </row>
    <row r="75" spans="1:26" s="2" customFormat="1">
      <c r="A75" s="22" t="s">
        <v>78</v>
      </c>
      <c r="B75" s="12">
        <v>1</v>
      </c>
      <c r="C75" s="12">
        <v>2</v>
      </c>
      <c r="D75" s="12">
        <v>2</v>
      </c>
      <c r="E75" s="12">
        <v>3</v>
      </c>
      <c r="F75" s="12">
        <v>2</v>
      </c>
      <c r="G75" s="12">
        <v>2</v>
      </c>
      <c r="H75" s="12"/>
      <c r="I75" s="13">
        <f t="shared" ref="I75:I79" si="68">SUM(B75:H75)</f>
        <v>12</v>
      </c>
      <c r="J75" s="12" t="s">
        <v>72</v>
      </c>
      <c r="K75" s="14"/>
      <c r="L75" s="15">
        <f>I75*K75</f>
        <v>0</v>
      </c>
      <c r="M75" s="16" t="s">
        <v>79</v>
      </c>
      <c r="N75" s="22" t="s">
        <v>78</v>
      </c>
      <c r="O75" s="12">
        <v>1</v>
      </c>
      <c r="P75" s="12">
        <v>2</v>
      </c>
      <c r="Q75" s="12">
        <v>2</v>
      </c>
      <c r="R75" s="12">
        <v>3</v>
      </c>
      <c r="S75" s="12">
        <v>2</v>
      </c>
      <c r="T75" s="12">
        <v>2</v>
      </c>
      <c r="U75" s="12"/>
      <c r="V75" s="13">
        <f t="shared" ref="V75:V79" si="69">SUM(O75:U75)</f>
        <v>12</v>
      </c>
      <c r="W75" s="12" t="s">
        <v>72</v>
      </c>
      <c r="X75" s="14"/>
      <c r="Y75" s="15">
        <f>V75*X75</f>
        <v>0</v>
      </c>
      <c r="Z75" s="16" t="s">
        <v>79</v>
      </c>
    </row>
    <row r="76" spans="1:26" s="2" customFormat="1">
      <c r="A76" s="11" t="s">
        <v>80</v>
      </c>
      <c r="B76" s="12">
        <f t="shared" ref="B76:H76" si="70">B75*$K75</f>
        <v>0</v>
      </c>
      <c r="C76" s="12">
        <f t="shared" si="70"/>
        <v>0</v>
      </c>
      <c r="D76" s="12">
        <f t="shared" si="70"/>
        <v>0</v>
      </c>
      <c r="E76" s="12">
        <f t="shared" si="70"/>
        <v>0</v>
      </c>
      <c r="F76" s="12">
        <f t="shared" si="70"/>
        <v>0</v>
      </c>
      <c r="G76" s="12">
        <f t="shared" si="70"/>
        <v>0</v>
      </c>
      <c r="H76" s="12">
        <f t="shared" si="70"/>
        <v>0</v>
      </c>
      <c r="I76" s="13">
        <f t="shared" si="68"/>
        <v>0</v>
      </c>
      <c r="J76" s="12"/>
      <c r="L76" s="17"/>
      <c r="M76" s="16"/>
      <c r="N76" s="11" t="s">
        <v>80</v>
      </c>
      <c r="O76" s="12">
        <f t="shared" ref="O76:U76" si="71">O75*$X75</f>
        <v>0</v>
      </c>
      <c r="P76" s="12">
        <f t="shared" si="71"/>
        <v>0</v>
      </c>
      <c r="Q76" s="12">
        <f t="shared" si="71"/>
        <v>0</v>
      </c>
      <c r="R76" s="12">
        <f t="shared" si="71"/>
        <v>0</v>
      </c>
      <c r="S76" s="12">
        <f t="shared" si="71"/>
        <v>0</v>
      </c>
      <c r="T76" s="12">
        <f t="shared" si="71"/>
        <v>0</v>
      </c>
      <c r="U76" s="12">
        <f t="shared" si="71"/>
        <v>0</v>
      </c>
      <c r="V76" s="13">
        <f t="shared" si="69"/>
        <v>0</v>
      </c>
      <c r="W76" s="12"/>
      <c r="Y76" s="17"/>
      <c r="Z76" s="16"/>
    </row>
    <row r="77" spans="1:26" s="2" customFormat="1">
      <c r="A77" s="18"/>
      <c r="B77" s="19"/>
      <c r="C77" s="19"/>
      <c r="D77" s="19"/>
      <c r="E77" s="19"/>
      <c r="F77" s="19"/>
      <c r="G77" s="19"/>
      <c r="H77" s="19"/>
      <c r="I77" s="20"/>
      <c r="J77" s="12"/>
      <c r="L77" s="17"/>
      <c r="M77" s="16"/>
      <c r="N77" s="18"/>
      <c r="O77" s="19"/>
      <c r="P77" s="19"/>
      <c r="Q77" s="19"/>
      <c r="R77" s="19"/>
      <c r="S77" s="19"/>
      <c r="T77" s="19"/>
      <c r="U77" s="19"/>
      <c r="V77" s="20"/>
      <c r="W77" s="12"/>
      <c r="Y77" s="17"/>
      <c r="Z77" s="16"/>
    </row>
    <row r="78" spans="1:26" s="2" customFormat="1">
      <c r="A78" s="11" t="s">
        <v>81</v>
      </c>
      <c r="B78" s="12">
        <v>2</v>
      </c>
      <c r="C78" s="12">
        <v>2</v>
      </c>
      <c r="D78" s="12">
        <v>3</v>
      </c>
      <c r="E78" s="12">
        <v>2</v>
      </c>
      <c r="F78" s="12">
        <v>2</v>
      </c>
      <c r="G78" s="12">
        <v>1</v>
      </c>
      <c r="H78" s="12"/>
      <c r="I78" s="13">
        <f t="shared" si="68"/>
        <v>12</v>
      </c>
      <c r="J78" s="12" t="s">
        <v>72</v>
      </c>
      <c r="K78" s="14"/>
      <c r="L78" s="15">
        <f>I78*K78</f>
        <v>0</v>
      </c>
      <c r="M78" s="16" t="s">
        <v>82</v>
      </c>
      <c r="N78" s="11" t="s">
        <v>81</v>
      </c>
      <c r="O78" s="12">
        <v>2</v>
      </c>
      <c r="P78" s="12">
        <v>2</v>
      </c>
      <c r="Q78" s="12">
        <v>3</v>
      </c>
      <c r="R78" s="12">
        <v>2</v>
      </c>
      <c r="S78" s="12">
        <v>2</v>
      </c>
      <c r="T78" s="12">
        <v>1</v>
      </c>
      <c r="U78" s="12"/>
      <c r="V78" s="13">
        <f t="shared" si="69"/>
        <v>12</v>
      </c>
      <c r="W78" s="12" t="s">
        <v>72</v>
      </c>
      <c r="X78" s="14"/>
      <c r="Y78" s="15">
        <f>V78*X78</f>
        <v>0</v>
      </c>
      <c r="Z78" s="16" t="s">
        <v>82</v>
      </c>
    </row>
    <row r="79" spans="1:26" s="2" customFormat="1">
      <c r="A79" s="11" t="s">
        <v>83</v>
      </c>
      <c r="B79" s="12">
        <f t="shared" ref="B79:H79" si="72">B78*$K78</f>
        <v>0</v>
      </c>
      <c r="C79" s="12">
        <f t="shared" si="72"/>
        <v>0</v>
      </c>
      <c r="D79" s="12">
        <f t="shared" si="72"/>
        <v>0</v>
      </c>
      <c r="E79" s="12">
        <f t="shared" si="72"/>
        <v>0</v>
      </c>
      <c r="F79" s="12">
        <f t="shared" si="72"/>
        <v>0</v>
      </c>
      <c r="G79" s="12">
        <f t="shared" si="72"/>
        <v>0</v>
      </c>
      <c r="H79" s="12">
        <f t="shared" si="72"/>
        <v>0</v>
      </c>
      <c r="I79" s="13">
        <f t="shared" si="68"/>
        <v>0</v>
      </c>
      <c r="J79" s="12"/>
      <c r="L79" s="17"/>
      <c r="M79" s="16"/>
      <c r="N79" s="11" t="s">
        <v>83</v>
      </c>
      <c r="O79" s="12">
        <f t="shared" ref="O79:U79" si="73">O78*$X78</f>
        <v>0</v>
      </c>
      <c r="P79" s="12">
        <f t="shared" si="73"/>
        <v>0</v>
      </c>
      <c r="Q79" s="12">
        <f t="shared" si="73"/>
        <v>0</v>
      </c>
      <c r="R79" s="12">
        <f t="shared" si="73"/>
        <v>0</v>
      </c>
      <c r="S79" s="12">
        <f t="shared" si="73"/>
        <v>0</v>
      </c>
      <c r="T79" s="12">
        <f t="shared" si="73"/>
        <v>0</v>
      </c>
      <c r="U79" s="12">
        <f t="shared" si="73"/>
        <v>0</v>
      </c>
      <c r="V79" s="13">
        <f t="shared" si="69"/>
        <v>0</v>
      </c>
      <c r="W79" s="12"/>
      <c r="Y79" s="17"/>
      <c r="Z79" s="16"/>
    </row>
    <row r="80" spans="1:26" s="2" customFormat="1">
      <c r="A80" s="18"/>
      <c r="B80" s="19"/>
      <c r="C80" s="19"/>
      <c r="D80" s="19"/>
      <c r="E80" s="19"/>
      <c r="F80" s="19"/>
      <c r="G80" s="19"/>
      <c r="H80" s="19"/>
      <c r="I80" s="20"/>
      <c r="J80" s="12"/>
      <c r="L80" s="17"/>
      <c r="M80" s="16"/>
      <c r="N80" s="18"/>
      <c r="O80" s="19"/>
      <c r="P80" s="19"/>
      <c r="Q80" s="19"/>
      <c r="R80" s="19"/>
      <c r="S80" s="19"/>
      <c r="T80" s="19"/>
      <c r="U80" s="19"/>
      <c r="V80" s="20"/>
      <c r="W80" s="12"/>
      <c r="Y80" s="17"/>
      <c r="Z80" s="16"/>
    </row>
    <row r="81" spans="1:28" s="2" customFormat="1">
      <c r="A81" s="11" t="s">
        <v>84</v>
      </c>
      <c r="B81" s="12">
        <v>1</v>
      </c>
      <c r="C81" s="12">
        <v>2</v>
      </c>
      <c r="D81" s="12">
        <v>2</v>
      </c>
      <c r="E81" s="12">
        <v>2</v>
      </c>
      <c r="F81" s="12">
        <v>2</v>
      </c>
      <c r="G81" s="12">
        <v>2</v>
      </c>
      <c r="H81" s="12">
        <v>1</v>
      </c>
      <c r="I81" s="13">
        <f t="shared" ref="I81:I85" si="74">SUM(B81:H81)</f>
        <v>12</v>
      </c>
      <c r="J81" s="12" t="s">
        <v>72</v>
      </c>
      <c r="K81" s="14"/>
      <c r="L81" s="15">
        <f>I81*K81</f>
        <v>0</v>
      </c>
      <c r="M81" s="16" t="s">
        <v>85</v>
      </c>
      <c r="N81" s="11" t="s">
        <v>84</v>
      </c>
      <c r="O81" s="12">
        <v>1</v>
      </c>
      <c r="P81" s="12">
        <v>2</v>
      </c>
      <c r="Q81" s="12">
        <v>2</v>
      </c>
      <c r="R81" s="12">
        <v>2</v>
      </c>
      <c r="S81" s="12">
        <v>2</v>
      </c>
      <c r="T81" s="12">
        <v>2</v>
      </c>
      <c r="U81" s="12">
        <v>1</v>
      </c>
      <c r="V81" s="13">
        <f t="shared" ref="V81:V85" si="75">SUM(O81:U81)</f>
        <v>12</v>
      </c>
      <c r="W81" s="12" t="s">
        <v>72</v>
      </c>
      <c r="X81" s="14"/>
      <c r="Y81" s="15">
        <f>V81*X81</f>
        <v>0</v>
      </c>
      <c r="Z81" s="16" t="s">
        <v>85</v>
      </c>
    </row>
    <row r="82" spans="1:28" s="2" customFormat="1">
      <c r="A82" s="11" t="s">
        <v>86</v>
      </c>
      <c r="B82" s="12">
        <f t="shared" ref="B82:H82" si="76">B81*$K81</f>
        <v>0</v>
      </c>
      <c r="C82" s="12">
        <f t="shared" si="76"/>
        <v>0</v>
      </c>
      <c r="D82" s="12">
        <f t="shared" si="76"/>
        <v>0</v>
      </c>
      <c r="E82" s="12">
        <f t="shared" si="76"/>
        <v>0</v>
      </c>
      <c r="F82" s="12">
        <f t="shared" si="76"/>
        <v>0</v>
      </c>
      <c r="G82" s="12">
        <f t="shared" si="76"/>
        <v>0</v>
      </c>
      <c r="H82" s="12">
        <f t="shared" si="76"/>
        <v>0</v>
      </c>
      <c r="I82" s="13">
        <f t="shared" si="74"/>
        <v>0</v>
      </c>
      <c r="J82" s="12"/>
      <c r="L82" s="17"/>
      <c r="M82" s="16"/>
      <c r="N82" s="11" t="s">
        <v>86</v>
      </c>
      <c r="O82" s="12">
        <f t="shared" ref="O82:U82" si="77">O81*$X81</f>
        <v>0</v>
      </c>
      <c r="P82" s="12">
        <f t="shared" si="77"/>
        <v>0</v>
      </c>
      <c r="Q82" s="12">
        <f t="shared" si="77"/>
        <v>0</v>
      </c>
      <c r="R82" s="12">
        <f t="shared" si="77"/>
        <v>0</v>
      </c>
      <c r="S82" s="12">
        <f t="shared" si="77"/>
        <v>0</v>
      </c>
      <c r="T82" s="12">
        <f t="shared" si="77"/>
        <v>0</v>
      </c>
      <c r="U82" s="12">
        <f t="shared" si="77"/>
        <v>0</v>
      </c>
      <c r="V82" s="13">
        <f t="shared" si="75"/>
        <v>0</v>
      </c>
      <c r="W82" s="12"/>
      <c r="Y82" s="17"/>
      <c r="Z82" s="16"/>
    </row>
    <row r="83" spans="1:28" s="2" customFormat="1">
      <c r="A83" s="18"/>
      <c r="B83" s="19"/>
      <c r="C83" s="19"/>
      <c r="D83" s="19"/>
      <c r="E83" s="19"/>
      <c r="F83" s="19"/>
      <c r="G83" s="19"/>
      <c r="H83" s="19"/>
      <c r="I83" s="20"/>
      <c r="J83" s="12"/>
      <c r="L83" s="17"/>
      <c r="M83" s="16"/>
      <c r="N83" s="18"/>
      <c r="O83" s="19"/>
      <c r="P83" s="19"/>
      <c r="Q83" s="19"/>
      <c r="R83" s="19"/>
      <c r="S83" s="19"/>
      <c r="T83" s="19"/>
      <c r="U83" s="19"/>
      <c r="V83" s="20"/>
      <c r="W83" s="12"/>
      <c r="Y83" s="17"/>
      <c r="Z83" s="16"/>
    </row>
    <row r="84" spans="1:28" s="2" customFormat="1">
      <c r="A84" s="11" t="s">
        <v>87</v>
      </c>
      <c r="B84" s="12">
        <v>1</v>
      </c>
      <c r="C84" s="12">
        <v>2</v>
      </c>
      <c r="D84" s="12">
        <v>3</v>
      </c>
      <c r="E84" s="12">
        <v>2</v>
      </c>
      <c r="F84" s="12">
        <v>2</v>
      </c>
      <c r="G84" s="12">
        <v>1</v>
      </c>
      <c r="H84" s="12">
        <v>1</v>
      </c>
      <c r="I84" s="13">
        <f t="shared" si="74"/>
        <v>12</v>
      </c>
      <c r="J84" s="12" t="s">
        <v>72</v>
      </c>
      <c r="K84" s="14"/>
      <c r="L84" s="15">
        <f>I84*K84</f>
        <v>0</v>
      </c>
      <c r="M84" s="16" t="s">
        <v>88</v>
      </c>
      <c r="N84" s="11" t="s">
        <v>87</v>
      </c>
      <c r="O84" s="12">
        <v>1</v>
      </c>
      <c r="P84" s="12">
        <v>2</v>
      </c>
      <c r="Q84" s="12">
        <v>3</v>
      </c>
      <c r="R84" s="12">
        <v>2</v>
      </c>
      <c r="S84" s="12">
        <v>2</v>
      </c>
      <c r="T84" s="12">
        <v>1</v>
      </c>
      <c r="U84" s="12">
        <v>1</v>
      </c>
      <c r="V84" s="13">
        <f t="shared" si="75"/>
        <v>12</v>
      </c>
      <c r="W84" s="12" t="s">
        <v>72</v>
      </c>
      <c r="X84" s="14"/>
      <c r="Y84" s="15">
        <f>V84*X84</f>
        <v>0</v>
      </c>
      <c r="Z84" s="16" t="s">
        <v>88</v>
      </c>
    </row>
    <row r="85" spans="1:28" s="2" customFormat="1">
      <c r="A85" s="11" t="s">
        <v>89</v>
      </c>
      <c r="B85" s="12">
        <f t="shared" ref="B85:H85" si="78">B84*$K84</f>
        <v>0</v>
      </c>
      <c r="C85" s="12">
        <f t="shared" si="78"/>
        <v>0</v>
      </c>
      <c r="D85" s="12">
        <f t="shared" si="78"/>
        <v>0</v>
      </c>
      <c r="E85" s="12">
        <f t="shared" si="78"/>
        <v>0</v>
      </c>
      <c r="F85" s="12">
        <f t="shared" si="78"/>
        <v>0</v>
      </c>
      <c r="G85" s="12">
        <f t="shared" si="78"/>
        <v>0</v>
      </c>
      <c r="H85" s="12">
        <f t="shared" si="78"/>
        <v>0</v>
      </c>
      <c r="I85" s="13">
        <f t="shared" si="74"/>
        <v>0</v>
      </c>
      <c r="J85" s="12"/>
      <c r="L85" s="17"/>
      <c r="M85" s="16"/>
      <c r="N85" s="11" t="s">
        <v>89</v>
      </c>
      <c r="O85" s="12">
        <f t="shared" ref="O85:U85" si="79">O84*$X84</f>
        <v>0</v>
      </c>
      <c r="P85" s="12">
        <f t="shared" si="79"/>
        <v>0</v>
      </c>
      <c r="Q85" s="12">
        <f t="shared" si="79"/>
        <v>0</v>
      </c>
      <c r="R85" s="12">
        <f t="shared" si="79"/>
        <v>0</v>
      </c>
      <c r="S85" s="12">
        <f t="shared" si="79"/>
        <v>0</v>
      </c>
      <c r="T85" s="12">
        <f t="shared" si="79"/>
        <v>0</v>
      </c>
      <c r="U85" s="12">
        <f t="shared" si="79"/>
        <v>0</v>
      </c>
      <c r="V85" s="13">
        <f t="shared" si="75"/>
        <v>0</v>
      </c>
      <c r="W85" s="12"/>
      <c r="Y85" s="17"/>
      <c r="Z85" s="16"/>
    </row>
    <row r="86" spans="1:28" s="2" customFormat="1">
      <c r="A86" s="18"/>
      <c r="B86" s="19"/>
      <c r="C86" s="19"/>
      <c r="D86" s="19"/>
      <c r="E86" s="19"/>
      <c r="F86" s="19"/>
      <c r="G86" s="19"/>
      <c r="H86" s="19"/>
      <c r="I86" s="20"/>
      <c r="J86" s="12"/>
      <c r="L86" s="17"/>
      <c r="M86" s="16"/>
      <c r="N86" s="18"/>
      <c r="O86" s="19"/>
      <c r="P86" s="19"/>
      <c r="Q86" s="19"/>
      <c r="R86" s="19"/>
      <c r="S86" s="19"/>
      <c r="T86" s="19"/>
      <c r="U86" s="19"/>
      <c r="V86" s="20"/>
      <c r="W86" s="12"/>
      <c r="Y86" s="17"/>
      <c r="Z86" s="16"/>
    </row>
    <row r="87" spans="1:28" s="2" customFormat="1">
      <c r="A87" s="11" t="s">
        <v>90</v>
      </c>
      <c r="B87" s="12"/>
      <c r="C87" s="12">
        <v>2</v>
      </c>
      <c r="D87" s="12">
        <v>3</v>
      </c>
      <c r="E87" s="12">
        <v>3</v>
      </c>
      <c r="F87" s="12">
        <v>2</v>
      </c>
      <c r="G87" s="12">
        <v>2</v>
      </c>
      <c r="H87" s="12"/>
      <c r="I87" s="13">
        <f t="shared" ref="I87:I91" si="80">SUM(B87:H87)</f>
        <v>12</v>
      </c>
      <c r="J87" s="12" t="s">
        <v>72</v>
      </c>
      <c r="K87" s="14"/>
      <c r="L87" s="15">
        <f>I87*K87</f>
        <v>0</v>
      </c>
      <c r="M87" s="16" t="s">
        <v>91</v>
      </c>
      <c r="N87" s="11" t="s">
        <v>90</v>
      </c>
      <c r="O87" s="12"/>
      <c r="P87" s="12">
        <v>2</v>
      </c>
      <c r="Q87" s="12">
        <v>3</v>
      </c>
      <c r="R87" s="12">
        <v>3</v>
      </c>
      <c r="S87" s="12">
        <v>2</v>
      </c>
      <c r="T87" s="12">
        <v>2</v>
      </c>
      <c r="U87" s="12"/>
      <c r="V87" s="13">
        <f t="shared" ref="V87:V91" si="81">SUM(O87:U87)</f>
        <v>12</v>
      </c>
      <c r="W87" s="12" t="s">
        <v>72</v>
      </c>
      <c r="X87" s="14"/>
      <c r="Y87" s="15">
        <f>V87*X87</f>
        <v>0</v>
      </c>
      <c r="Z87" s="16" t="s">
        <v>91</v>
      </c>
    </row>
    <row r="88" spans="1:28" s="2" customFormat="1">
      <c r="A88" s="11" t="s">
        <v>92</v>
      </c>
      <c r="B88" s="12">
        <f t="shared" ref="B88:H88" si="82">B87*$K87</f>
        <v>0</v>
      </c>
      <c r="C88" s="12">
        <f t="shared" si="82"/>
        <v>0</v>
      </c>
      <c r="D88" s="12">
        <f t="shared" si="82"/>
        <v>0</v>
      </c>
      <c r="E88" s="12">
        <f t="shared" si="82"/>
        <v>0</v>
      </c>
      <c r="F88" s="12">
        <f t="shared" si="82"/>
        <v>0</v>
      </c>
      <c r="G88" s="12">
        <f t="shared" si="82"/>
        <v>0</v>
      </c>
      <c r="H88" s="12">
        <f t="shared" si="82"/>
        <v>0</v>
      </c>
      <c r="I88" s="13">
        <f t="shared" si="80"/>
        <v>0</v>
      </c>
      <c r="J88" s="12"/>
      <c r="L88" s="17"/>
      <c r="M88" s="16"/>
      <c r="N88" s="11" t="s">
        <v>92</v>
      </c>
      <c r="O88" s="12">
        <f t="shared" ref="O88:U88" si="83">O87*$X87</f>
        <v>0</v>
      </c>
      <c r="P88" s="12">
        <f t="shared" si="83"/>
        <v>0</v>
      </c>
      <c r="Q88" s="12">
        <f t="shared" si="83"/>
        <v>0</v>
      </c>
      <c r="R88" s="12">
        <f t="shared" si="83"/>
        <v>0</v>
      </c>
      <c r="S88" s="12">
        <f t="shared" si="83"/>
        <v>0</v>
      </c>
      <c r="T88" s="12">
        <f t="shared" si="83"/>
        <v>0</v>
      </c>
      <c r="U88" s="12">
        <f t="shared" si="83"/>
        <v>0</v>
      </c>
      <c r="V88" s="13">
        <f t="shared" si="81"/>
        <v>0</v>
      </c>
      <c r="W88" s="12"/>
      <c r="Y88" s="17"/>
      <c r="Z88" s="16"/>
    </row>
    <row r="89" spans="1:28" s="2" customFormat="1">
      <c r="A89" s="18"/>
      <c r="B89" s="19"/>
      <c r="C89" s="19"/>
      <c r="D89" s="19"/>
      <c r="E89" s="19"/>
      <c r="F89" s="19"/>
      <c r="G89" s="19"/>
      <c r="H89" s="19"/>
      <c r="I89" s="20"/>
      <c r="J89" s="12"/>
      <c r="L89" s="17"/>
      <c r="M89" s="16"/>
      <c r="N89" s="18"/>
      <c r="O89" s="19"/>
      <c r="P89" s="19"/>
      <c r="Q89" s="19"/>
      <c r="R89" s="19"/>
      <c r="S89" s="19"/>
      <c r="T89" s="19"/>
      <c r="U89" s="19"/>
      <c r="V89" s="20"/>
      <c r="W89" s="12"/>
      <c r="Y89" s="17"/>
      <c r="Z89" s="16"/>
    </row>
    <row r="90" spans="1:28" s="2" customFormat="1">
      <c r="A90" s="11" t="s">
        <v>93</v>
      </c>
      <c r="B90" s="12">
        <v>1</v>
      </c>
      <c r="C90" s="12">
        <v>1</v>
      </c>
      <c r="D90" s="12">
        <v>2</v>
      </c>
      <c r="E90" s="12">
        <v>2</v>
      </c>
      <c r="F90" s="12">
        <v>1</v>
      </c>
      <c r="G90" s="12">
        <v>1</v>
      </c>
      <c r="H90" s="12"/>
      <c r="I90" s="13">
        <f t="shared" si="80"/>
        <v>8</v>
      </c>
      <c r="J90" s="12" t="s">
        <v>72</v>
      </c>
      <c r="K90" s="14"/>
      <c r="L90" s="15">
        <f>I90*K90</f>
        <v>0</v>
      </c>
      <c r="M90" s="16" t="s">
        <v>94</v>
      </c>
      <c r="N90" s="11" t="s">
        <v>93</v>
      </c>
      <c r="O90" s="12">
        <v>1</v>
      </c>
      <c r="P90" s="12">
        <v>1</v>
      </c>
      <c r="Q90" s="12">
        <v>2</v>
      </c>
      <c r="R90" s="12">
        <v>2</v>
      </c>
      <c r="S90" s="12">
        <v>1</v>
      </c>
      <c r="T90" s="12">
        <v>1</v>
      </c>
      <c r="U90" s="12"/>
      <c r="V90" s="13">
        <f t="shared" si="81"/>
        <v>8</v>
      </c>
      <c r="W90" s="12" t="s">
        <v>72</v>
      </c>
      <c r="X90" s="14"/>
      <c r="Y90" s="15">
        <f>V90*X90</f>
        <v>0</v>
      </c>
      <c r="Z90" s="16" t="s">
        <v>94</v>
      </c>
      <c r="AA90" s="32"/>
      <c r="AB90" s="32"/>
    </row>
    <row r="91" spans="1:28" s="2" customFormat="1">
      <c r="A91" s="11" t="s">
        <v>95</v>
      </c>
      <c r="B91" s="12">
        <f t="shared" ref="B91:H91" si="84">B90*$K90</f>
        <v>0</v>
      </c>
      <c r="C91" s="12">
        <f t="shared" si="84"/>
        <v>0</v>
      </c>
      <c r="D91" s="12">
        <f t="shared" si="84"/>
        <v>0</v>
      </c>
      <c r="E91" s="12">
        <f t="shared" si="84"/>
        <v>0</v>
      </c>
      <c r="F91" s="12">
        <f t="shared" si="84"/>
        <v>0</v>
      </c>
      <c r="G91" s="12">
        <f t="shared" si="84"/>
        <v>0</v>
      </c>
      <c r="H91" s="12">
        <f t="shared" si="84"/>
        <v>0</v>
      </c>
      <c r="I91" s="13">
        <f t="shared" si="80"/>
        <v>0</v>
      </c>
      <c r="J91" s="12"/>
      <c r="L91" s="17"/>
      <c r="M91" s="16"/>
      <c r="N91" s="11" t="s">
        <v>95</v>
      </c>
      <c r="O91" s="12">
        <f t="shared" ref="O91:U91" si="85">O90*$X90</f>
        <v>0</v>
      </c>
      <c r="P91" s="12">
        <f t="shared" si="85"/>
        <v>0</v>
      </c>
      <c r="Q91" s="12">
        <f t="shared" si="85"/>
        <v>0</v>
      </c>
      <c r="R91" s="12">
        <f t="shared" si="85"/>
        <v>0</v>
      </c>
      <c r="S91" s="12">
        <f t="shared" si="85"/>
        <v>0</v>
      </c>
      <c r="T91" s="12">
        <f t="shared" si="85"/>
        <v>0</v>
      </c>
      <c r="U91" s="12">
        <f t="shared" si="85"/>
        <v>0</v>
      </c>
      <c r="V91" s="13">
        <f t="shared" si="81"/>
        <v>0</v>
      </c>
      <c r="W91" s="12"/>
      <c r="Y91" s="17"/>
      <c r="Z91" s="16"/>
      <c r="AA91" s="32"/>
      <c r="AB91" s="32"/>
    </row>
    <row r="92" spans="1:28" s="2" customFormat="1">
      <c r="A92" s="18"/>
      <c r="B92" s="19"/>
      <c r="C92" s="19"/>
      <c r="D92" s="19"/>
      <c r="E92" s="19"/>
      <c r="F92" s="19"/>
      <c r="G92" s="19"/>
      <c r="H92" s="19"/>
      <c r="I92" s="20"/>
      <c r="J92" s="12"/>
      <c r="L92" s="17"/>
      <c r="M92" s="16"/>
      <c r="N92" s="18"/>
      <c r="O92" s="19"/>
      <c r="P92" s="19"/>
      <c r="Q92" s="19"/>
      <c r="R92" s="19"/>
      <c r="S92" s="19"/>
      <c r="T92" s="19"/>
      <c r="U92" s="19"/>
      <c r="V92" s="20"/>
      <c r="W92" s="12"/>
      <c r="Y92" s="17"/>
      <c r="Z92" s="16"/>
      <c r="AA92" s="32"/>
      <c r="AB92" s="32"/>
    </row>
    <row r="93" spans="1:28" s="2" customFormat="1">
      <c r="A93" s="11" t="s">
        <v>96</v>
      </c>
      <c r="B93" s="12"/>
      <c r="C93" s="12">
        <v>1</v>
      </c>
      <c r="D93" s="12">
        <v>1</v>
      </c>
      <c r="E93" s="12">
        <v>2</v>
      </c>
      <c r="F93" s="12">
        <v>2</v>
      </c>
      <c r="G93" s="12">
        <v>1</v>
      </c>
      <c r="H93" s="12">
        <v>1</v>
      </c>
      <c r="I93" s="13">
        <f t="shared" ref="I93:I97" si="86">SUM(B93:H93)</f>
        <v>8</v>
      </c>
      <c r="J93" s="12" t="s">
        <v>72</v>
      </c>
      <c r="K93" s="14"/>
      <c r="L93" s="15">
        <f>I93*K93</f>
        <v>0</v>
      </c>
      <c r="M93" s="16" t="s">
        <v>97</v>
      </c>
      <c r="N93" s="11" t="s">
        <v>96</v>
      </c>
      <c r="O93" s="12"/>
      <c r="P93" s="12">
        <v>1</v>
      </c>
      <c r="Q93" s="12">
        <v>1</v>
      </c>
      <c r="R93" s="12">
        <v>2</v>
      </c>
      <c r="S93" s="12">
        <v>2</v>
      </c>
      <c r="T93" s="12">
        <v>1</v>
      </c>
      <c r="U93" s="12">
        <v>1</v>
      </c>
      <c r="V93" s="13">
        <f t="shared" ref="V93:V97" si="87">SUM(O93:U93)</f>
        <v>8</v>
      </c>
      <c r="W93" s="12" t="s">
        <v>72</v>
      </c>
      <c r="X93" s="14"/>
      <c r="Y93" s="15">
        <f>V93*X93</f>
        <v>0</v>
      </c>
      <c r="Z93" s="16" t="s">
        <v>97</v>
      </c>
    </row>
    <row r="94" spans="1:28" s="2" customFormat="1">
      <c r="A94" s="11" t="s">
        <v>98</v>
      </c>
      <c r="B94" s="12">
        <f t="shared" ref="B94:H94" si="88">B93*$K93</f>
        <v>0</v>
      </c>
      <c r="C94" s="12">
        <f t="shared" si="88"/>
        <v>0</v>
      </c>
      <c r="D94" s="12">
        <f t="shared" si="88"/>
        <v>0</v>
      </c>
      <c r="E94" s="12">
        <f t="shared" si="88"/>
        <v>0</v>
      </c>
      <c r="F94" s="12">
        <f t="shared" si="88"/>
        <v>0</v>
      </c>
      <c r="G94" s="12">
        <f t="shared" si="88"/>
        <v>0</v>
      </c>
      <c r="H94" s="12">
        <f t="shared" si="88"/>
        <v>0</v>
      </c>
      <c r="I94" s="13">
        <f t="shared" si="86"/>
        <v>0</v>
      </c>
      <c r="J94" s="12"/>
      <c r="L94" s="17"/>
      <c r="M94" s="16"/>
      <c r="N94" s="11" t="s">
        <v>98</v>
      </c>
      <c r="O94" s="12">
        <f t="shared" ref="O94:U94" si="89">O93*$X93</f>
        <v>0</v>
      </c>
      <c r="P94" s="12">
        <f t="shared" si="89"/>
        <v>0</v>
      </c>
      <c r="Q94" s="12">
        <f t="shared" si="89"/>
        <v>0</v>
      </c>
      <c r="R94" s="12">
        <f t="shared" si="89"/>
        <v>0</v>
      </c>
      <c r="S94" s="12">
        <f t="shared" si="89"/>
        <v>0</v>
      </c>
      <c r="T94" s="12">
        <f t="shared" si="89"/>
        <v>0</v>
      </c>
      <c r="U94" s="12">
        <f t="shared" si="89"/>
        <v>0</v>
      </c>
      <c r="V94" s="13">
        <f t="shared" si="87"/>
        <v>0</v>
      </c>
      <c r="W94" s="12"/>
      <c r="Y94" s="17"/>
      <c r="Z94" s="16"/>
    </row>
    <row r="95" spans="1:28" s="2" customFormat="1">
      <c r="A95" s="18"/>
      <c r="B95" s="19"/>
      <c r="C95" s="19"/>
      <c r="D95" s="19"/>
      <c r="E95" s="19"/>
      <c r="F95" s="19"/>
      <c r="G95" s="19"/>
      <c r="H95" s="19"/>
      <c r="I95" s="20"/>
      <c r="J95" s="12"/>
      <c r="L95" s="17"/>
      <c r="M95" s="16"/>
      <c r="N95" s="18"/>
      <c r="O95" s="19"/>
      <c r="P95" s="19"/>
      <c r="Q95" s="19"/>
      <c r="R95" s="19"/>
      <c r="S95" s="19"/>
      <c r="T95" s="19"/>
      <c r="U95" s="19"/>
      <c r="V95" s="20"/>
      <c r="W95" s="12"/>
      <c r="Y95" s="17"/>
      <c r="Z95" s="16"/>
    </row>
    <row r="96" spans="1:28" s="2" customFormat="1">
      <c r="A96" s="11" t="s">
        <v>99</v>
      </c>
      <c r="B96" s="12"/>
      <c r="C96" s="12">
        <v>1</v>
      </c>
      <c r="D96" s="12">
        <v>2</v>
      </c>
      <c r="E96" s="12">
        <v>2</v>
      </c>
      <c r="F96" s="12">
        <v>2</v>
      </c>
      <c r="G96" s="12">
        <v>1</v>
      </c>
      <c r="H96" s="12"/>
      <c r="I96" s="13">
        <f t="shared" si="86"/>
        <v>8</v>
      </c>
      <c r="J96" s="12" t="s">
        <v>72</v>
      </c>
      <c r="K96" s="14"/>
      <c r="L96" s="15">
        <f>I96*K96</f>
        <v>0</v>
      </c>
      <c r="M96" s="16" t="s">
        <v>100</v>
      </c>
      <c r="N96" s="11" t="s">
        <v>99</v>
      </c>
      <c r="O96" s="12"/>
      <c r="P96" s="12">
        <v>1</v>
      </c>
      <c r="Q96" s="12">
        <v>2</v>
      </c>
      <c r="R96" s="12">
        <v>2</v>
      </c>
      <c r="S96" s="12">
        <v>2</v>
      </c>
      <c r="T96" s="12">
        <v>1</v>
      </c>
      <c r="U96" s="12"/>
      <c r="V96" s="13">
        <f t="shared" si="87"/>
        <v>8</v>
      </c>
      <c r="W96" s="12" t="s">
        <v>72</v>
      </c>
      <c r="X96" s="14"/>
      <c r="Y96" s="15">
        <f>V96*X96</f>
        <v>0</v>
      </c>
      <c r="Z96" s="16" t="s">
        <v>100</v>
      </c>
      <c r="AA96" s="32"/>
      <c r="AB96" s="32"/>
    </row>
    <row r="97" spans="1:28" s="2" customFormat="1">
      <c r="A97" s="11" t="s">
        <v>101</v>
      </c>
      <c r="B97" s="12">
        <f t="shared" ref="B97:H97" si="90">B96*$K96</f>
        <v>0</v>
      </c>
      <c r="C97" s="12">
        <f t="shared" si="90"/>
        <v>0</v>
      </c>
      <c r="D97" s="12">
        <f t="shared" si="90"/>
        <v>0</v>
      </c>
      <c r="E97" s="12">
        <f t="shared" si="90"/>
        <v>0</v>
      </c>
      <c r="F97" s="12">
        <f t="shared" si="90"/>
        <v>0</v>
      </c>
      <c r="G97" s="12">
        <f t="shared" si="90"/>
        <v>0</v>
      </c>
      <c r="H97" s="12">
        <f t="shared" si="90"/>
        <v>0</v>
      </c>
      <c r="I97" s="13">
        <f t="shared" si="86"/>
        <v>0</v>
      </c>
      <c r="J97" s="12"/>
      <c r="L97" s="17"/>
      <c r="M97" s="16"/>
      <c r="N97" s="11" t="s">
        <v>101</v>
      </c>
      <c r="O97" s="12">
        <f t="shared" ref="O97:U97" si="91">O96*$X96</f>
        <v>0</v>
      </c>
      <c r="P97" s="12">
        <f t="shared" si="91"/>
        <v>0</v>
      </c>
      <c r="Q97" s="12">
        <f t="shared" si="91"/>
        <v>0</v>
      </c>
      <c r="R97" s="12">
        <f t="shared" si="91"/>
        <v>0</v>
      </c>
      <c r="S97" s="12">
        <f t="shared" si="91"/>
        <v>0</v>
      </c>
      <c r="T97" s="12">
        <f t="shared" si="91"/>
        <v>0</v>
      </c>
      <c r="U97" s="12">
        <f t="shared" si="91"/>
        <v>0</v>
      </c>
      <c r="V97" s="13">
        <f t="shared" si="87"/>
        <v>0</v>
      </c>
      <c r="W97" s="12"/>
      <c r="Y97" s="17"/>
      <c r="Z97" s="16"/>
      <c r="AA97" s="32"/>
      <c r="AB97" s="32"/>
    </row>
    <row r="98" spans="1:28" s="2" customFormat="1">
      <c r="A98" s="18"/>
      <c r="B98" s="19"/>
      <c r="C98" s="19"/>
      <c r="D98" s="19"/>
      <c r="E98" s="19"/>
      <c r="F98" s="19"/>
      <c r="G98" s="19"/>
      <c r="H98" s="19"/>
      <c r="I98" s="20"/>
      <c r="J98" s="12"/>
      <c r="L98" s="17"/>
      <c r="M98" s="16"/>
      <c r="N98" s="18"/>
      <c r="O98" s="19"/>
      <c r="P98" s="19"/>
      <c r="Q98" s="19"/>
      <c r="R98" s="19"/>
      <c r="S98" s="19"/>
      <c r="T98" s="19"/>
      <c r="U98" s="19"/>
      <c r="V98" s="20"/>
      <c r="W98" s="12"/>
      <c r="Y98" s="17"/>
      <c r="Z98" s="16"/>
    </row>
    <row r="99" spans="1:28" s="2" customFormat="1">
      <c r="A99" s="11" t="s">
        <v>102</v>
      </c>
      <c r="B99" s="12"/>
      <c r="C99" s="12">
        <v>2</v>
      </c>
      <c r="D99" s="12">
        <v>2</v>
      </c>
      <c r="E99" s="12">
        <v>2</v>
      </c>
      <c r="F99" s="12">
        <v>2</v>
      </c>
      <c r="G99" s="12"/>
      <c r="H99" s="12"/>
      <c r="I99" s="13">
        <f t="shared" ref="I99:I103" si="92">SUM(B99:H99)</f>
        <v>8</v>
      </c>
      <c r="J99" s="12" t="s">
        <v>72</v>
      </c>
      <c r="K99" s="14"/>
      <c r="L99" s="15">
        <f>I99*K99</f>
        <v>0</v>
      </c>
      <c r="M99" s="16" t="s">
        <v>103</v>
      </c>
      <c r="N99" s="11" t="s">
        <v>102</v>
      </c>
      <c r="O99" s="12"/>
      <c r="P99" s="12">
        <v>2</v>
      </c>
      <c r="Q99" s="12">
        <v>2</v>
      </c>
      <c r="R99" s="12">
        <v>2</v>
      </c>
      <c r="S99" s="12">
        <v>2</v>
      </c>
      <c r="T99" s="12"/>
      <c r="U99" s="12"/>
      <c r="V99" s="13">
        <f t="shared" ref="V99:V103" si="93">SUM(O99:U99)</f>
        <v>8</v>
      </c>
      <c r="W99" s="12" t="s">
        <v>72</v>
      </c>
      <c r="X99" s="14"/>
      <c r="Y99" s="15">
        <f>V99*X99</f>
        <v>0</v>
      </c>
      <c r="Z99" s="16" t="s">
        <v>103</v>
      </c>
    </row>
    <row r="100" spans="1:28" s="2" customFormat="1">
      <c r="A100" s="11" t="s">
        <v>104</v>
      </c>
      <c r="B100" s="12">
        <f t="shared" ref="B100:H100" si="94">B99*$K99</f>
        <v>0</v>
      </c>
      <c r="C100" s="12">
        <f t="shared" si="94"/>
        <v>0</v>
      </c>
      <c r="D100" s="12">
        <f t="shared" si="94"/>
        <v>0</v>
      </c>
      <c r="E100" s="12">
        <f t="shared" si="94"/>
        <v>0</v>
      </c>
      <c r="F100" s="12">
        <f t="shared" si="94"/>
        <v>0</v>
      </c>
      <c r="G100" s="12">
        <f t="shared" si="94"/>
        <v>0</v>
      </c>
      <c r="H100" s="12">
        <f t="shared" si="94"/>
        <v>0</v>
      </c>
      <c r="I100" s="13">
        <f t="shared" si="92"/>
        <v>0</v>
      </c>
      <c r="J100" s="12"/>
      <c r="L100" s="17"/>
      <c r="M100" s="16"/>
      <c r="N100" s="11" t="s">
        <v>104</v>
      </c>
      <c r="O100" s="12">
        <f t="shared" ref="O100:U100" si="95">O99*$X99</f>
        <v>0</v>
      </c>
      <c r="P100" s="12">
        <f t="shared" si="95"/>
        <v>0</v>
      </c>
      <c r="Q100" s="12">
        <f t="shared" si="95"/>
        <v>0</v>
      </c>
      <c r="R100" s="12">
        <f t="shared" si="95"/>
        <v>0</v>
      </c>
      <c r="S100" s="12">
        <f t="shared" si="95"/>
        <v>0</v>
      </c>
      <c r="T100" s="12">
        <f t="shared" si="95"/>
        <v>0</v>
      </c>
      <c r="U100" s="12">
        <f t="shared" si="95"/>
        <v>0</v>
      </c>
      <c r="V100" s="13">
        <f t="shared" si="93"/>
        <v>0</v>
      </c>
      <c r="W100" s="12"/>
      <c r="Y100" s="17"/>
      <c r="Z100" s="16"/>
    </row>
    <row r="101" spans="1:28" s="2" customFormat="1">
      <c r="A101" s="18"/>
      <c r="B101" s="19"/>
      <c r="C101" s="19"/>
      <c r="D101" s="19"/>
      <c r="E101" s="19"/>
      <c r="F101" s="19"/>
      <c r="G101" s="19"/>
      <c r="H101" s="19"/>
      <c r="I101" s="20"/>
      <c r="J101" s="12"/>
      <c r="L101" s="17"/>
      <c r="M101" s="16"/>
      <c r="N101" s="18"/>
      <c r="O101" s="19"/>
      <c r="P101" s="19"/>
      <c r="Q101" s="19"/>
      <c r="R101" s="19"/>
      <c r="S101" s="19"/>
      <c r="T101" s="19"/>
      <c r="U101" s="19"/>
      <c r="V101" s="20"/>
      <c r="W101" s="12"/>
      <c r="Y101" s="17"/>
      <c r="Z101" s="16"/>
    </row>
    <row r="102" spans="1:28" s="2" customFormat="1">
      <c r="A102" s="11" t="s">
        <v>105</v>
      </c>
      <c r="B102" s="12"/>
      <c r="C102" s="12"/>
      <c r="D102" s="12">
        <v>2</v>
      </c>
      <c r="E102" s="12">
        <v>2</v>
      </c>
      <c r="F102" s="12">
        <v>2</v>
      </c>
      <c r="G102" s="12">
        <v>2</v>
      </c>
      <c r="H102" s="12"/>
      <c r="I102" s="13">
        <f t="shared" si="92"/>
        <v>8</v>
      </c>
      <c r="J102" s="12" t="s">
        <v>72</v>
      </c>
      <c r="K102" s="14"/>
      <c r="L102" s="15">
        <f>I102*K102</f>
        <v>0</v>
      </c>
      <c r="M102" s="16" t="s">
        <v>106</v>
      </c>
      <c r="N102" s="11" t="s">
        <v>105</v>
      </c>
      <c r="O102" s="12"/>
      <c r="P102" s="12"/>
      <c r="Q102" s="12">
        <v>2</v>
      </c>
      <c r="R102" s="12">
        <v>2</v>
      </c>
      <c r="S102" s="12">
        <v>2</v>
      </c>
      <c r="T102" s="12">
        <v>2</v>
      </c>
      <c r="U102" s="12"/>
      <c r="V102" s="13">
        <f t="shared" si="93"/>
        <v>8</v>
      </c>
      <c r="W102" s="12" t="s">
        <v>72</v>
      </c>
      <c r="X102" s="14"/>
      <c r="Y102" s="15">
        <f>V102*X102</f>
        <v>0</v>
      </c>
      <c r="Z102" s="16" t="s">
        <v>106</v>
      </c>
    </row>
    <row r="103" spans="1:28" s="2" customFormat="1">
      <c r="A103" s="11" t="s">
        <v>107</v>
      </c>
      <c r="B103" s="12">
        <f t="shared" ref="B103:H103" si="96">B102*$K102</f>
        <v>0</v>
      </c>
      <c r="C103" s="12">
        <f t="shared" si="96"/>
        <v>0</v>
      </c>
      <c r="D103" s="12">
        <f t="shared" si="96"/>
        <v>0</v>
      </c>
      <c r="E103" s="12">
        <f t="shared" si="96"/>
        <v>0</v>
      </c>
      <c r="F103" s="12">
        <f t="shared" si="96"/>
        <v>0</v>
      </c>
      <c r="G103" s="12">
        <f t="shared" si="96"/>
        <v>0</v>
      </c>
      <c r="H103" s="12">
        <f t="shared" si="96"/>
        <v>0</v>
      </c>
      <c r="I103" s="13">
        <f t="shared" si="92"/>
        <v>0</v>
      </c>
      <c r="J103" s="12"/>
      <c r="L103" s="17"/>
      <c r="M103" s="16"/>
      <c r="N103" s="11" t="s">
        <v>107</v>
      </c>
      <c r="O103" s="12">
        <f t="shared" ref="O103:U103" si="97">O102*$X102</f>
        <v>0</v>
      </c>
      <c r="P103" s="12">
        <f t="shared" si="97"/>
        <v>0</v>
      </c>
      <c r="Q103" s="12">
        <f t="shared" si="97"/>
        <v>0</v>
      </c>
      <c r="R103" s="12">
        <f t="shared" si="97"/>
        <v>0</v>
      </c>
      <c r="S103" s="12">
        <f t="shared" si="97"/>
        <v>0</v>
      </c>
      <c r="T103" s="12">
        <f t="shared" si="97"/>
        <v>0</v>
      </c>
      <c r="U103" s="12">
        <f t="shared" si="97"/>
        <v>0</v>
      </c>
      <c r="V103" s="13">
        <f t="shared" si="93"/>
        <v>0</v>
      </c>
      <c r="W103" s="12"/>
      <c r="Y103" s="17"/>
      <c r="Z103" s="16"/>
    </row>
    <row r="104" spans="1:28" s="2" customFormat="1">
      <c r="A104" s="18"/>
      <c r="B104" s="19"/>
      <c r="C104" s="19"/>
      <c r="D104" s="19"/>
      <c r="E104" s="19"/>
      <c r="F104" s="19"/>
      <c r="G104" s="19"/>
      <c r="H104" s="19"/>
      <c r="I104" s="20"/>
      <c r="J104" s="12"/>
      <c r="L104" s="17"/>
      <c r="M104" s="16"/>
      <c r="N104" s="18"/>
      <c r="O104" s="19"/>
      <c r="P104" s="19"/>
      <c r="Q104" s="19"/>
      <c r="R104" s="19"/>
      <c r="S104" s="19"/>
      <c r="T104" s="19"/>
      <c r="U104" s="19"/>
      <c r="V104" s="20"/>
      <c r="W104" s="12"/>
      <c r="Y104" s="17"/>
      <c r="Z104" s="16"/>
    </row>
    <row r="105" spans="1:28" s="2" customFormat="1">
      <c r="A105" s="11" t="s">
        <v>108</v>
      </c>
      <c r="B105" s="12">
        <v>1</v>
      </c>
      <c r="C105" s="12">
        <v>1</v>
      </c>
      <c r="D105" s="12">
        <v>1</v>
      </c>
      <c r="E105" s="12">
        <v>1</v>
      </c>
      <c r="F105" s="12">
        <v>1</v>
      </c>
      <c r="G105" s="12">
        <v>1</v>
      </c>
      <c r="H105" s="12"/>
      <c r="I105" s="13">
        <f t="shared" ref="I105:I109" si="98">SUM(B105:H105)</f>
        <v>6</v>
      </c>
      <c r="J105" s="12" t="s">
        <v>72</v>
      </c>
      <c r="K105" s="14"/>
      <c r="L105" s="15">
        <f>I105*K105</f>
        <v>0</v>
      </c>
      <c r="M105" s="16" t="s">
        <v>109</v>
      </c>
      <c r="N105" s="11" t="s">
        <v>108</v>
      </c>
      <c r="O105" s="12">
        <v>1</v>
      </c>
      <c r="P105" s="12">
        <v>1</v>
      </c>
      <c r="Q105" s="12">
        <v>1</v>
      </c>
      <c r="R105" s="12">
        <v>1</v>
      </c>
      <c r="S105" s="12">
        <v>1</v>
      </c>
      <c r="T105" s="12">
        <v>1</v>
      </c>
      <c r="U105" s="12"/>
      <c r="V105" s="13">
        <f t="shared" ref="V105:V109" si="99">SUM(O105:U105)</f>
        <v>6</v>
      </c>
      <c r="W105" s="12" t="s">
        <v>72</v>
      </c>
      <c r="X105" s="14"/>
      <c r="Y105" s="15">
        <f>V105*X105</f>
        <v>0</v>
      </c>
      <c r="Z105" s="16" t="s">
        <v>109</v>
      </c>
    </row>
    <row r="106" spans="1:28" s="2" customFormat="1">
      <c r="A106" s="11" t="s">
        <v>110</v>
      </c>
      <c r="B106" s="12">
        <f t="shared" ref="B106:H106" si="100">B105*$K105</f>
        <v>0</v>
      </c>
      <c r="C106" s="12">
        <f t="shared" si="100"/>
        <v>0</v>
      </c>
      <c r="D106" s="12">
        <f t="shared" si="100"/>
        <v>0</v>
      </c>
      <c r="E106" s="12">
        <f t="shared" si="100"/>
        <v>0</v>
      </c>
      <c r="F106" s="12">
        <f t="shared" si="100"/>
        <v>0</v>
      </c>
      <c r="G106" s="12">
        <f t="shared" si="100"/>
        <v>0</v>
      </c>
      <c r="H106" s="12">
        <f t="shared" si="100"/>
        <v>0</v>
      </c>
      <c r="I106" s="13">
        <f t="shared" si="98"/>
        <v>0</v>
      </c>
      <c r="J106" s="12"/>
      <c r="L106" s="17"/>
      <c r="M106" s="16"/>
      <c r="N106" s="11" t="s">
        <v>110</v>
      </c>
      <c r="O106" s="12">
        <f t="shared" ref="O106:U106" si="101">O105*$X105</f>
        <v>0</v>
      </c>
      <c r="P106" s="12">
        <f t="shared" si="101"/>
        <v>0</v>
      </c>
      <c r="Q106" s="12">
        <f t="shared" si="101"/>
        <v>0</v>
      </c>
      <c r="R106" s="12">
        <f t="shared" si="101"/>
        <v>0</v>
      </c>
      <c r="S106" s="12">
        <f t="shared" si="101"/>
        <v>0</v>
      </c>
      <c r="T106" s="12">
        <f t="shared" si="101"/>
        <v>0</v>
      </c>
      <c r="U106" s="12">
        <f t="shared" si="101"/>
        <v>0</v>
      </c>
      <c r="V106" s="13">
        <f t="shared" si="99"/>
        <v>0</v>
      </c>
      <c r="W106" s="12"/>
      <c r="Y106" s="17"/>
      <c r="Z106" s="16"/>
    </row>
    <row r="107" spans="1:28" s="2" customFormat="1">
      <c r="A107" s="18"/>
      <c r="B107" s="19"/>
      <c r="C107" s="19"/>
      <c r="D107" s="19"/>
      <c r="E107" s="19"/>
      <c r="F107" s="19"/>
      <c r="G107" s="19"/>
      <c r="H107" s="19"/>
      <c r="I107" s="20"/>
      <c r="J107" s="12"/>
      <c r="L107" s="17"/>
      <c r="M107" s="16"/>
      <c r="N107" s="18"/>
      <c r="O107" s="19"/>
      <c r="P107" s="19"/>
      <c r="Q107" s="19"/>
      <c r="R107" s="19"/>
      <c r="S107" s="19"/>
      <c r="T107" s="19"/>
      <c r="U107" s="19"/>
      <c r="V107" s="20"/>
      <c r="W107" s="12"/>
      <c r="Y107" s="17"/>
      <c r="Z107" s="16"/>
    </row>
    <row r="108" spans="1:28" s="2" customFormat="1">
      <c r="A108" s="11" t="s">
        <v>111</v>
      </c>
      <c r="B108" s="12"/>
      <c r="C108" s="12">
        <v>1</v>
      </c>
      <c r="D108" s="12">
        <v>1</v>
      </c>
      <c r="E108" s="12">
        <v>1</v>
      </c>
      <c r="F108" s="12">
        <v>1</v>
      </c>
      <c r="G108" s="12">
        <v>1</v>
      </c>
      <c r="H108" s="12">
        <v>1</v>
      </c>
      <c r="I108" s="13">
        <f t="shared" si="98"/>
        <v>6</v>
      </c>
      <c r="J108" s="12" t="s">
        <v>72</v>
      </c>
      <c r="K108" s="14"/>
      <c r="L108" s="15">
        <f>I108*K108</f>
        <v>0</v>
      </c>
      <c r="M108" s="16" t="s">
        <v>112</v>
      </c>
      <c r="N108" s="11" t="s">
        <v>111</v>
      </c>
      <c r="O108" s="12"/>
      <c r="P108" s="12">
        <v>1</v>
      </c>
      <c r="Q108" s="12">
        <v>1</v>
      </c>
      <c r="R108" s="12">
        <v>1</v>
      </c>
      <c r="S108" s="12">
        <v>1</v>
      </c>
      <c r="T108" s="12">
        <v>1</v>
      </c>
      <c r="U108" s="12">
        <v>1</v>
      </c>
      <c r="V108" s="13">
        <f t="shared" si="99"/>
        <v>6</v>
      </c>
      <c r="W108" s="12" t="s">
        <v>72</v>
      </c>
      <c r="X108" s="14"/>
      <c r="Y108" s="15">
        <f>V108*X108</f>
        <v>0</v>
      </c>
      <c r="Z108" s="16" t="s">
        <v>112</v>
      </c>
    </row>
    <row r="109" spans="1:28" s="2" customFormat="1">
      <c r="A109" s="11" t="s">
        <v>113</v>
      </c>
      <c r="B109" s="12">
        <f t="shared" ref="B109:H109" si="102">B108*$K108</f>
        <v>0</v>
      </c>
      <c r="C109" s="12">
        <f t="shared" si="102"/>
        <v>0</v>
      </c>
      <c r="D109" s="12">
        <f t="shared" si="102"/>
        <v>0</v>
      </c>
      <c r="E109" s="12">
        <f t="shared" si="102"/>
        <v>0</v>
      </c>
      <c r="F109" s="12">
        <f t="shared" si="102"/>
        <v>0</v>
      </c>
      <c r="G109" s="12">
        <f t="shared" si="102"/>
        <v>0</v>
      </c>
      <c r="H109" s="12">
        <f t="shared" si="102"/>
        <v>0</v>
      </c>
      <c r="I109" s="13">
        <f t="shared" si="98"/>
        <v>0</v>
      </c>
      <c r="J109" s="12"/>
      <c r="L109" s="17"/>
      <c r="M109" s="16"/>
      <c r="N109" s="11" t="s">
        <v>113</v>
      </c>
      <c r="O109" s="12">
        <f t="shared" ref="O109:U109" si="103">O108*$X108</f>
        <v>0</v>
      </c>
      <c r="P109" s="12">
        <f t="shared" si="103"/>
        <v>0</v>
      </c>
      <c r="Q109" s="12">
        <f t="shared" si="103"/>
        <v>0</v>
      </c>
      <c r="R109" s="12">
        <f t="shared" si="103"/>
        <v>0</v>
      </c>
      <c r="S109" s="12">
        <f t="shared" si="103"/>
        <v>0</v>
      </c>
      <c r="T109" s="12">
        <f t="shared" si="103"/>
        <v>0</v>
      </c>
      <c r="U109" s="12">
        <f t="shared" si="103"/>
        <v>0</v>
      </c>
      <c r="V109" s="13">
        <f t="shared" si="99"/>
        <v>0</v>
      </c>
      <c r="W109" s="12"/>
      <c r="Y109" s="17"/>
      <c r="Z109" s="16"/>
    </row>
    <row r="110" spans="1:28" s="2" customFormat="1">
      <c r="A110" s="18"/>
      <c r="B110" s="19"/>
      <c r="C110" s="19"/>
      <c r="D110" s="19"/>
      <c r="E110" s="19"/>
      <c r="F110" s="19"/>
      <c r="G110" s="19"/>
      <c r="H110" s="19"/>
      <c r="I110" s="20"/>
      <c r="J110" s="12"/>
      <c r="L110" s="17"/>
      <c r="M110" s="16"/>
      <c r="N110" s="18"/>
      <c r="O110" s="19"/>
      <c r="P110" s="19"/>
      <c r="Q110" s="19"/>
      <c r="R110" s="19"/>
      <c r="S110" s="19"/>
      <c r="T110" s="19"/>
      <c r="U110" s="19"/>
      <c r="V110" s="20"/>
      <c r="W110" s="12"/>
      <c r="Y110" s="17"/>
      <c r="Z110" s="16"/>
    </row>
    <row r="111" spans="1:28" s="2" customFormat="1">
      <c r="A111" s="11" t="s">
        <v>114</v>
      </c>
      <c r="B111" s="12"/>
      <c r="C111" s="12">
        <v>1</v>
      </c>
      <c r="D111" s="12">
        <v>1</v>
      </c>
      <c r="E111" s="12">
        <v>2</v>
      </c>
      <c r="F111" s="12">
        <v>1</v>
      </c>
      <c r="G111" s="12">
        <v>1</v>
      </c>
      <c r="H111" s="12"/>
      <c r="I111" s="13">
        <f t="shared" ref="I111:I115" si="104">SUM(B111:H111)</f>
        <v>6</v>
      </c>
      <c r="J111" s="12" t="s">
        <v>72</v>
      </c>
      <c r="K111" s="14"/>
      <c r="L111" s="15">
        <f>I111*K111</f>
        <v>0</v>
      </c>
      <c r="M111" s="16" t="s">
        <v>115</v>
      </c>
      <c r="N111" s="11" t="s">
        <v>114</v>
      </c>
      <c r="O111" s="12"/>
      <c r="P111" s="12">
        <v>1</v>
      </c>
      <c r="Q111" s="12">
        <v>1</v>
      </c>
      <c r="R111" s="12">
        <v>2</v>
      </c>
      <c r="S111" s="12">
        <v>1</v>
      </c>
      <c r="T111" s="12">
        <v>1</v>
      </c>
      <c r="U111" s="12"/>
      <c r="V111" s="13">
        <f t="shared" ref="V111:V115" si="105">SUM(O111:U111)</f>
        <v>6</v>
      </c>
      <c r="W111" s="12" t="s">
        <v>72</v>
      </c>
      <c r="X111" s="14"/>
      <c r="Y111" s="15">
        <f>V111*X111</f>
        <v>0</v>
      </c>
      <c r="Z111" s="16" t="s">
        <v>115</v>
      </c>
    </row>
    <row r="112" spans="1:28" s="2" customFormat="1">
      <c r="A112" s="11" t="s">
        <v>116</v>
      </c>
      <c r="B112" s="12">
        <f t="shared" ref="B112:H112" si="106">B111*$K111</f>
        <v>0</v>
      </c>
      <c r="C112" s="12">
        <f t="shared" si="106"/>
        <v>0</v>
      </c>
      <c r="D112" s="12">
        <f t="shared" si="106"/>
        <v>0</v>
      </c>
      <c r="E112" s="12">
        <f t="shared" si="106"/>
        <v>0</v>
      </c>
      <c r="F112" s="12">
        <f t="shared" si="106"/>
        <v>0</v>
      </c>
      <c r="G112" s="12">
        <f t="shared" si="106"/>
        <v>0</v>
      </c>
      <c r="H112" s="12">
        <f t="shared" si="106"/>
        <v>0</v>
      </c>
      <c r="I112" s="13">
        <f t="shared" si="104"/>
        <v>0</v>
      </c>
      <c r="J112" s="12"/>
      <c r="L112" s="17"/>
      <c r="M112" s="16"/>
      <c r="N112" s="11" t="s">
        <v>116</v>
      </c>
      <c r="O112" s="12">
        <f t="shared" ref="O112:U112" si="107">O111*$X111</f>
        <v>0</v>
      </c>
      <c r="P112" s="12">
        <f t="shared" si="107"/>
        <v>0</v>
      </c>
      <c r="Q112" s="12">
        <f t="shared" si="107"/>
        <v>0</v>
      </c>
      <c r="R112" s="12">
        <f t="shared" si="107"/>
        <v>0</v>
      </c>
      <c r="S112" s="12">
        <f t="shared" si="107"/>
        <v>0</v>
      </c>
      <c r="T112" s="12">
        <f t="shared" si="107"/>
        <v>0</v>
      </c>
      <c r="U112" s="12">
        <f t="shared" si="107"/>
        <v>0</v>
      </c>
      <c r="V112" s="13">
        <f t="shared" si="105"/>
        <v>0</v>
      </c>
      <c r="W112" s="12"/>
      <c r="Y112" s="17"/>
      <c r="Z112" s="16"/>
    </row>
    <row r="113" spans="1:26" s="2" customFormat="1">
      <c r="A113" s="18"/>
      <c r="B113" s="19"/>
      <c r="C113" s="19"/>
      <c r="D113" s="19"/>
      <c r="E113" s="19"/>
      <c r="F113" s="19"/>
      <c r="G113" s="19"/>
      <c r="H113" s="19"/>
      <c r="I113" s="20"/>
      <c r="J113" s="12"/>
      <c r="L113" s="17"/>
      <c r="M113" s="16"/>
      <c r="N113" s="18"/>
      <c r="O113" s="19"/>
      <c r="P113" s="19"/>
      <c r="Q113" s="19"/>
      <c r="R113" s="19"/>
      <c r="S113" s="19"/>
      <c r="T113" s="19"/>
      <c r="U113" s="19"/>
      <c r="V113" s="20"/>
      <c r="W113" s="12"/>
      <c r="Y113" s="17"/>
      <c r="Z113" s="16"/>
    </row>
    <row r="114" spans="1:26" s="2" customFormat="1">
      <c r="A114" s="11" t="s">
        <v>117</v>
      </c>
      <c r="B114" s="12"/>
      <c r="C114" s="12">
        <v>1</v>
      </c>
      <c r="D114" s="12">
        <v>2</v>
      </c>
      <c r="E114" s="12">
        <v>2</v>
      </c>
      <c r="F114" s="12">
        <v>1</v>
      </c>
      <c r="G114" s="12"/>
      <c r="H114" s="12"/>
      <c r="I114" s="13">
        <f t="shared" si="104"/>
        <v>6</v>
      </c>
      <c r="J114" s="12" t="s">
        <v>72</v>
      </c>
      <c r="K114" s="14"/>
      <c r="L114" s="15">
        <f>I114*K114</f>
        <v>0</v>
      </c>
      <c r="M114" s="16" t="s">
        <v>118</v>
      </c>
      <c r="N114" s="11" t="s">
        <v>117</v>
      </c>
      <c r="O114" s="12"/>
      <c r="P114" s="12">
        <v>1</v>
      </c>
      <c r="Q114" s="12">
        <v>2</v>
      </c>
      <c r="R114" s="12">
        <v>2</v>
      </c>
      <c r="S114" s="12">
        <v>1</v>
      </c>
      <c r="T114" s="12"/>
      <c r="U114" s="12"/>
      <c r="V114" s="13">
        <f t="shared" si="105"/>
        <v>6</v>
      </c>
      <c r="W114" s="12" t="s">
        <v>72</v>
      </c>
      <c r="X114" s="14"/>
      <c r="Y114" s="15">
        <f>V114*X114</f>
        <v>0</v>
      </c>
      <c r="Z114" s="16" t="s">
        <v>118</v>
      </c>
    </row>
    <row r="115" spans="1:26" s="2" customFormat="1">
      <c r="A115" s="11" t="s">
        <v>119</v>
      </c>
      <c r="B115" s="12">
        <f t="shared" ref="B115:H115" si="108">B114*$K114</f>
        <v>0</v>
      </c>
      <c r="C115" s="12">
        <f t="shared" si="108"/>
        <v>0</v>
      </c>
      <c r="D115" s="12">
        <f t="shared" si="108"/>
        <v>0</v>
      </c>
      <c r="E115" s="12">
        <f t="shared" si="108"/>
        <v>0</v>
      </c>
      <c r="F115" s="12">
        <f t="shared" si="108"/>
        <v>0</v>
      </c>
      <c r="G115" s="12">
        <f t="shared" si="108"/>
        <v>0</v>
      </c>
      <c r="H115" s="12">
        <f t="shared" si="108"/>
        <v>0</v>
      </c>
      <c r="I115" s="13">
        <f t="shared" si="104"/>
        <v>0</v>
      </c>
      <c r="J115" s="12"/>
      <c r="L115" s="17"/>
      <c r="M115" s="16"/>
      <c r="N115" s="11" t="s">
        <v>119</v>
      </c>
      <c r="O115" s="12">
        <f t="shared" ref="O115:U115" si="109">O114*$X114</f>
        <v>0</v>
      </c>
      <c r="P115" s="12">
        <f t="shared" si="109"/>
        <v>0</v>
      </c>
      <c r="Q115" s="12">
        <f t="shared" si="109"/>
        <v>0</v>
      </c>
      <c r="R115" s="12">
        <f t="shared" si="109"/>
        <v>0</v>
      </c>
      <c r="S115" s="12">
        <f t="shared" si="109"/>
        <v>0</v>
      </c>
      <c r="T115" s="12">
        <f t="shared" si="109"/>
        <v>0</v>
      </c>
      <c r="U115" s="12">
        <f t="shared" si="109"/>
        <v>0</v>
      </c>
      <c r="V115" s="13">
        <f t="shared" si="105"/>
        <v>0</v>
      </c>
      <c r="W115" s="12"/>
      <c r="Y115" s="17"/>
      <c r="Z115" s="16"/>
    </row>
    <row r="116" spans="1:26" s="2" customFormat="1">
      <c r="A116" s="18"/>
      <c r="B116" s="19"/>
      <c r="C116" s="19"/>
      <c r="D116" s="19"/>
      <c r="E116" s="19"/>
      <c r="F116" s="19"/>
      <c r="G116" s="19"/>
      <c r="H116" s="19"/>
      <c r="I116" s="20"/>
      <c r="J116" s="12"/>
      <c r="L116" s="17"/>
      <c r="M116" s="16"/>
      <c r="N116" s="18"/>
      <c r="O116" s="19"/>
      <c r="P116" s="19"/>
      <c r="Q116" s="19"/>
      <c r="R116" s="19"/>
      <c r="S116" s="19"/>
      <c r="T116" s="19"/>
      <c r="U116" s="19"/>
      <c r="V116" s="20"/>
      <c r="W116" s="12"/>
      <c r="Y116" s="17"/>
      <c r="Z116" s="16"/>
    </row>
    <row r="117" spans="1:26" s="2" customFormat="1">
      <c r="A117" s="11" t="s">
        <v>120</v>
      </c>
      <c r="B117" s="12"/>
      <c r="C117" s="12"/>
      <c r="D117" s="12">
        <v>1</v>
      </c>
      <c r="E117" s="12">
        <v>2</v>
      </c>
      <c r="F117" s="12">
        <v>2</v>
      </c>
      <c r="G117" s="12">
        <v>1</v>
      </c>
      <c r="H117" s="12"/>
      <c r="I117" s="13">
        <f t="shared" ref="I117:I121" si="110">SUM(B117:H117)</f>
        <v>6</v>
      </c>
      <c r="J117" s="12" t="s">
        <v>72</v>
      </c>
      <c r="K117" s="14"/>
      <c r="L117" s="15">
        <f>I117*K117</f>
        <v>0</v>
      </c>
      <c r="M117" s="16" t="s">
        <v>121</v>
      </c>
      <c r="N117" s="11" t="s">
        <v>120</v>
      </c>
      <c r="O117" s="12"/>
      <c r="P117" s="12"/>
      <c r="Q117" s="12">
        <v>1</v>
      </c>
      <c r="R117" s="12">
        <v>2</v>
      </c>
      <c r="S117" s="12">
        <v>2</v>
      </c>
      <c r="T117" s="12">
        <v>1</v>
      </c>
      <c r="U117" s="12"/>
      <c r="V117" s="13">
        <f t="shared" ref="V117:V121" si="111">SUM(O117:U117)</f>
        <v>6</v>
      </c>
      <c r="W117" s="12" t="s">
        <v>72</v>
      </c>
      <c r="X117" s="14"/>
      <c r="Y117" s="15">
        <f>V117*X117</f>
        <v>0</v>
      </c>
      <c r="Z117" s="16" t="s">
        <v>121</v>
      </c>
    </row>
    <row r="118" spans="1:26" s="2" customFormat="1">
      <c r="A118" s="11" t="s">
        <v>122</v>
      </c>
      <c r="B118" s="12">
        <f t="shared" ref="B118:H118" si="112">B117*$K117</f>
        <v>0</v>
      </c>
      <c r="C118" s="12">
        <f t="shared" si="112"/>
        <v>0</v>
      </c>
      <c r="D118" s="12">
        <f t="shared" si="112"/>
        <v>0</v>
      </c>
      <c r="E118" s="12">
        <f t="shared" si="112"/>
        <v>0</v>
      </c>
      <c r="F118" s="12">
        <f t="shared" si="112"/>
        <v>0</v>
      </c>
      <c r="G118" s="12">
        <f t="shared" si="112"/>
        <v>0</v>
      </c>
      <c r="H118" s="12">
        <f t="shared" si="112"/>
        <v>0</v>
      </c>
      <c r="I118" s="13">
        <f t="shared" si="110"/>
        <v>0</v>
      </c>
      <c r="J118" s="12"/>
      <c r="L118" s="17"/>
      <c r="M118" s="16"/>
      <c r="N118" s="11" t="s">
        <v>122</v>
      </c>
      <c r="O118" s="12">
        <f t="shared" ref="O118:U118" si="113">O117*$X117</f>
        <v>0</v>
      </c>
      <c r="P118" s="12">
        <f t="shared" si="113"/>
        <v>0</v>
      </c>
      <c r="Q118" s="12">
        <f t="shared" si="113"/>
        <v>0</v>
      </c>
      <c r="R118" s="12">
        <f t="shared" si="113"/>
        <v>0</v>
      </c>
      <c r="S118" s="12">
        <f t="shared" si="113"/>
        <v>0</v>
      </c>
      <c r="T118" s="12">
        <f t="shared" si="113"/>
        <v>0</v>
      </c>
      <c r="U118" s="12">
        <f t="shared" si="113"/>
        <v>0</v>
      </c>
      <c r="V118" s="13">
        <f t="shared" si="111"/>
        <v>0</v>
      </c>
      <c r="W118" s="12"/>
      <c r="Y118" s="17"/>
      <c r="Z118" s="16"/>
    </row>
    <row r="119" spans="1:26" s="2" customFormat="1">
      <c r="A119" s="18"/>
      <c r="B119" s="19"/>
      <c r="C119" s="19"/>
      <c r="D119" s="19"/>
      <c r="E119" s="19"/>
      <c r="F119" s="19"/>
      <c r="G119" s="19"/>
      <c r="H119" s="19"/>
      <c r="I119" s="20"/>
      <c r="J119" s="12"/>
      <c r="L119" s="17"/>
      <c r="M119" s="16"/>
      <c r="N119" s="18"/>
      <c r="O119" s="19"/>
      <c r="P119" s="19"/>
      <c r="Q119" s="19"/>
      <c r="R119" s="19"/>
      <c r="S119" s="19"/>
      <c r="T119" s="19"/>
      <c r="U119" s="19"/>
      <c r="V119" s="20"/>
      <c r="W119" s="12"/>
      <c r="Y119" s="17"/>
      <c r="Z119" s="16"/>
    </row>
    <row r="120" spans="1:26" s="2" customFormat="1">
      <c r="A120" s="11" t="s">
        <v>123</v>
      </c>
      <c r="B120" s="12"/>
      <c r="C120" s="12">
        <v>1</v>
      </c>
      <c r="D120" s="12">
        <v>1</v>
      </c>
      <c r="E120" s="12">
        <v>1</v>
      </c>
      <c r="F120" s="12">
        <v>1</v>
      </c>
      <c r="G120" s="12"/>
      <c r="H120" s="12"/>
      <c r="I120" s="13">
        <f t="shared" si="110"/>
        <v>4</v>
      </c>
      <c r="J120" s="12" t="s">
        <v>72</v>
      </c>
      <c r="K120" s="14"/>
      <c r="L120" s="15">
        <f>I120*K120</f>
        <v>0</v>
      </c>
      <c r="M120" s="16" t="s">
        <v>124</v>
      </c>
      <c r="N120" s="11" t="s">
        <v>123</v>
      </c>
      <c r="O120" s="12"/>
      <c r="P120" s="12">
        <v>1</v>
      </c>
      <c r="Q120" s="12">
        <v>1</v>
      </c>
      <c r="R120" s="12">
        <v>1</v>
      </c>
      <c r="S120" s="12">
        <v>1</v>
      </c>
      <c r="T120" s="12"/>
      <c r="U120" s="12"/>
      <c r="V120" s="13">
        <f t="shared" si="111"/>
        <v>4</v>
      </c>
      <c r="W120" s="12" t="s">
        <v>72</v>
      </c>
      <c r="X120" s="14"/>
      <c r="Y120" s="15">
        <f>V120*X120</f>
        <v>0</v>
      </c>
      <c r="Z120" s="16" t="s">
        <v>124</v>
      </c>
    </row>
    <row r="121" spans="1:26" s="2" customFormat="1">
      <c r="A121" s="11" t="s">
        <v>125</v>
      </c>
      <c r="B121" s="12">
        <f t="shared" ref="B121:H121" si="114">B120*$K120</f>
        <v>0</v>
      </c>
      <c r="C121" s="12">
        <f t="shared" si="114"/>
        <v>0</v>
      </c>
      <c r="D121" s="12">
        <f t="shared" si="114"/>
        <v>0</v>
      </c>
      <c r="E121" s="12">
        <f t="shared" si="114"/>
        <v>0</v>
      </c>
      <c r="F121" s="12">
        <f t="shared" si="114"/>
        <v>0</v>
      </c>
      <c r="G121" s="12">
        <f t="shared" si="114"/>
        <v>0</v>
      </c>
      <c r="H121" s="12">
        <f t="shared" si="114"/>
        <v>0</v>
      </c>
      <c r="I121" s="13">
        <f t="shared" si="110"/>
        <v>0</v>
      </c>
      <c r="J121" s="12"/>
      <c r="L121" s="17"/>
      <c r="M121" s="16"/>
      <c r="N121" s="11" t="s">
        <v>125</v>
      </c>
      <c r="O121" s="12">
        <f t="shared" ref="O121:U121" si="115">O120*$X120</f>
        <v>0</v>
      </c>
      <c r="P121" s="12">
        <f t="shared" si="115"/>
        <v>0</v>
      </c>
      <c r="Q121" s="12">
        <f t="shared" si="115"/>
        <v>0</v>
      </c>
      <c r="R121" s="12">
        <f t="shared" si="115"/>
        <v>0</v>
      </c>
      <c r="S121" s="12">
        <f t="shared" si="115"/>
        <v>0</v>
      </c>
      <c r="T121" s="12">
        <f t="shared" si="115"/>
        <v>0</v>
      </c>
      <c r="U121" s="12">
        <f t="shared" si="115"/>
        <v>0</v>
      </c>
      <c r="V121" s="13">
        <f t="shared" si="111"/>
        <v>0</v>
      </c>
      <c r="W121" s="12"/>
      <c r="Y121" s="17"/>
      <c r="Z121" s="16"/>
    </row>
    <row r="122" spans="1:26" s="2" customFormat="1">
      <c r="A122" s="18"/>
      <c r="B122" s="19"/>
      <c r="C122" s="19"/>
      <c r="D122" s="19"/>
      <c r="E122" s="19"/>
      <c r="F122" s="19"/>
      <c r="G122" s="19"/>
      <c r="H122" s="19"/>
      <c r="I122" s="20"/>
      <c r="J122" s="12"/>
      <c r="L122" s="17"/>
      <c r="M122" s="16"/>
      <c r="N122" s="18"/>
      <c r="O122" s="19"/>
      <c r="P122" s="19"/>
      <c r="Q122" s="19"/>
      <c r="R122" s="19"/>
      <c r="S122" s="19"/>
      <c r="T122" s="19"/>
      <c r="U122" s="19"/>
      <c r="V122" s="20"/>
      <c r="W122" s="12"/>
      <c r="Y122" s="17"/>
      <c r="Z122" s="16"/>
    </row>
    <row r="123" spans="1:26" s="2" customFormat="1">
      <c r="A123" s="11" t="s">
        <v>126</v>
      </c>
      <c r="B123" s="12"/>
      <c r="C123" s="12"/>
      <c r="D123" s="12">
        <v>1</v>
      </c>
      <c r="E123" s="12">
        <v>1</v>
      </c>
      <c r="F123" s="12">
        <v>1</v>
      </c>
      <c r="G123" s="12">
        <v>1</v>
      </c>
      <c r="H123" s="12"/>
      <c r="I123" s="13">
        <f>SUM(B123:H123)</f>
        <v>4</v>
      </c>
      <c r="J123" s="12" t="s">
        <v>72</v>
      </c>
      <c r="K123" s="14"/>
      <c r="L123" s="15">
        <f>I123*K123</f>
        <v>0</v>
      </c>
      <c r="M123" s="16" t="s">
        <v>127</v>
      </c>
      <c r="N123" s="11" t="s">
        <v>126</v>
      </c>
      <c r="O123" s="12"/>
      <c r="P123" s="12"/>
      <c r="Q123" s="12">
        <v>1</v>
      </c>
      <c r="R123" s="12">
        <v>1</v>
      </c>
      <c r="S123" s="12">
        <v>1</v>
      </c>
      <c r="T123" s="12">
        <v>1</v>
      </c>
      <c r="U123" s="12"/>
      <c r="V123" s="13">
        <f>SUM(O123:U123)</f>
        <v>4</v>
      </c>
      <c r="W123" s="12" t="s">
        <v>72</v>
      </c>
      <c r="X123" s="14"/>
      <c r="Y123" s="15">
        <f>V123*X123</f>
        <v>0</v>
      </c>
      <c r="Z123" s="16" t="s">
        <v>127</v>
      </c>
    </row>
    <row r="124" spans="1:26" s="2" customFormat="1">
      <c r="A124" s="11" t="s">
        <v>128</v>
      </c>
      <c r="B124" s="12">
        <f t="shared" ref="B124:H124" si="116">B123*$K123</f>
        <v>0</v>
      </c>
      <c r="C124" s="12">
        <f t="shared" si="116"/>
        <v>0</v>
      </c>
      <c r="D124" s="12">
        <f t="shared" si="116"/>
        <v>0</v>
      </c>
      <c r="E124" s="12">
        <f t="shared" si="116"/>
        <v>0</v>
      </c>
      <c r="F124" s="12">
        <f t="shared" si="116"/>
        <v>0</v>
      </c>
      <c r="G124" s="12">
        <f t="shared" si="116"/>
        <v>0</v>
      </c>
      <c r="H124" s="12">
        <f t="shared" si="116"/>
        <v>0</v>
      </c>
      <c r="I124" s="13">
        <f>SUM(B124:H124)</f>
        <v>0</v>
      </c>
      <c r="J124" s="12"/>
      <c r="L124" s="17"/>
      <c r="M124" s="16"/>
      <c r="N124" s="11" t="s">
        <v>128</v>
      </c>
      <c r="O124" s="12">
        <f t="shared" ref="O124:U124" si="117">O123*$X123</f>
        <v>0</v>
      </c>
      <c r="P124" s="12">
        <f t="shared" si="117"/>
        <v>0</v>
      </c>
      <c r="Q124" s="12">
        <f t="shared" si="117"/>
        <v>0</v>
      </c>
      <c r="R124" s="12">
        <f t="shared" si="117"/>
        <v>0</v>
      </c>
      <c r="S124" s="12">
        <f t="shared" si="117"/>
        <v>0</v>
      </c>
      <c r="T124" s="12">
        <f t="shared" si="117"/>
        <v>0</v>
      </c>
      <c r="U124" s="12">
        <f t="shared" si="117"/>
        <v>0</v>
      </c>
      <c r="V124" s="13">
        <f>SUM(O124:U124)</f>
        <v>0</v>
      </c>
      <c r="W124" s="12"/>
      <c r="Y124" s="17"/>
      <c r="Z124" s="16"/>
    </row>
    <row r="125" spans="1:26" s="2" customFormat="1">
      <c r="A125" s="18"/>
      <c r="B125" s="19"/>
      <c r="C125" s="19"/>
      <c r="D125" s="19"/>
      <c r="E125" s="19"/>
      <c r="F125" s="19"/>
      <c r="G125" s="19"/>
      <c r="H125" s="19"/>
      <c r="I125" s="20"/>
      <c r="J125" s="12"/>
      <c r="L125" s="17"/>
      <c r="M125" s="16"/>
      <c r="N125" s="18"/>
      <c r="O125" s="19"/>
      <c r="P125" s="19"/>
      <c r="Q125" s="19"/>
      <c r="R125" s="19"/>
      <c r="S125" s="19"/>
      <c r="T125" s="19"/>
      <c r="U125" s="19"/>
      <c r="V125" s="20"/>
      <c r="W125" s="12"/>
      <c r="Y125" s="17"/>
      <c r="Z125" s="16"/>
    </row>
    <row r="126" spans="1:26" s="2" customFormat="1" ht="12.75" customHeight="1">
      <c r="A126" s="23" t="s">
        <v>129</v>
      </c>
      <c r="B126" s="24">
        <f t="shared" ref="B126:H126" si="118">SUM(B70,B73,B76,B79,B82,B85,B88,B91,B94,B97,B100,B103,B106,B109,B112,B115,B118,B121,B124)</f>
        <v>0</v>
      </c>
      <c r="C126" s="24">
        <f t="shared" si="118"/>
        <v>0</v>
      </c>
      <c r="D126" s="24">
        <f t="shared" si="118"/>
        <v>0</v>
      </c>
      <c r="E126" s="24">
        <f t="shared" si="118"/>
        <v>0</v>
      </c>
      <c r="F126" s="24">
        <f t="shared" si="118"/>
        <v>0</v>
      </c>
      <c r="G126" s="24">
        <f t="shared" si="118"/>
        <v>0</v>
      </c>
      <c r="H126" s="24">
        <f t="shared" si="118"/>
        <v>0</v>
      </c>
      <c r="I126" s="24">
        <f>SUM(I70,I73,I76,I79,I82,I85,I88,I91,I94,I97,I100,I103,I106,I109)</f>
        <v>0</v>
      </c>
      <c r="J126" s="12"/>
      <c r="K126" s="25">
        <f>SUM(K69:K125)</f>
        <v>0</v>
      </c>
      <c r="L126" s="26">
        <f>SUM(L69:L125)</f>
        <v>0</v>
      </c>
      <c r="M126" s="16"/>
      <c r="N126" s="23" t="s">
        <v>129</v>
      </c>
      <c r="O126" s="24">
        <f t="shared" ref="O126:U126" si="119">SUM(O70,O73,O76,O79,O82,O85,O88,O91,O94,O97,O100,O103,O106,O109,O112,O115,O118,O121,O124)</f>
        <v>0</v>
      </c>
      <c r="P126" s="24">
        <f t="shared" si="119"/>
        <v>0</v>
      </c>
      <c r="Q126" s="24">
        <f t="shared" si="119"/>
        <v>0</v>
      </c>
      <c r="R126" s="24">
        <f t="shared" si="119"/>
        <v>0</v>
      </c>
      <c r="S126" s="24">
        <f t="shared" si="119"/>
        <v>0</v>
      </c>
      <c r="T126" s="24">
        <f t="shared" si="119"/>
        <v>0</v>
      </c>
      <c r="U126" s="24">
        <f t="shared" si="119"/>
        <v>0</v>
      </c>
      <c r="V126" s="24">
        <f>SUM(V70,V73,V76,V79,V82,V85,V88,V91,V94,V97,V100,V103,V106,V109)</f>
        <v>0</v>
      </c>
      <c r="W126" s="12"/>
      <c r="X126" s="25">
        <f>SUM(X69:X125)</f>
        <v>0</v>
      </c>
      <c r="Y126" s="26">
        <f>SUM(Y69:Y125)</f>
        <v>0</v>
      </c>
      <c r="Z126" s="16"/>
    </row>
    <row r="127" spans="1:26">
      <c r="A127" s="28"/>
      <c r="B127" s="29" t="e">
        <f>B126/I126</f>
        <v>#DIV/0!</v>
      </c>
      <c r="C127" s="29" t="e">
        <f>C126/I126</f>
        <v>#DIV/0!</v>
      </c>
      <c r="D127" s="29" t="e">
        <f>D126/I126</f>
        <v>#DIV/0!</v>
      </c>
      <c r="E127" s="29" t="e">
        <f>E126/I126</f>
        <v>#DIV/0!</v>
      </c>
      <c r="F127" s="29" t="e">
        <f>F126/I126</f>
        <v>#DIV/0!</v>
      </c>
      <c r="G127" s="29" t="e">
        <f>G126/I126</f>
        <v>#DIV/0!</v>
      </c>
      <c r="H127" s="29" t="e">
        <f>H126/I126</f>
        <v>#DIV/0!</v>
      </c>
      <c r="J127" s="5"/>
      <c r="N127" s="28"/>
      <c r="O127" s="29" t="e">
        <f>O126/V126</f>
        <v>#DIV/0!</v>
      </c>
      <c r="P127" s="29" t="e">
        <f>P126/V126</f>
        <v>#DIV/0!</v>
      </c>
      <c r="Q127" s="29" t="e">
        <f>Q126/V126</f>
        <v>#DIV/0!</v>
      </c>
      <c r="R127" s="29" t="e">
        <f>R126/V126</f>
        <v>#DIV/0!</v>
      </c>
      <c r="S127" s="29" t="e">
        <f>S126/V126</f>
        <v>#DIV/0!</v>
      </c>
      <c r="T127" s="29" t="e">
        <f>T126/V126</f>
        <v>#DIV/0!</v>
      </c>
      <c r="U127" s="29" t="e">
        <f>U126/V126</f>
        <v>#DIV/0!</v>
      </c>
      <c r="W127" s="5"/>
      <c r="Z127" s="3"/>
    </row>
  </sheetData>
  <pageMargins left="0.25" right="0.25" top="1" bottom="1" header="0.3" footer="0.3"/>
  <pageSetup paperSize="5" scale="8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CONFIRMED PO</vt:lpstr>
      <vt:lpstr>PACKING LIST</vt:lpstr>
      <vt:lpstr>'CONFIRMED PO'!Print_Area</vt:lpstr>
      <vt:lpstr>'PACKING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Clereane.Tan</dc:creator>
  <cp:lastModifiedBy>Julius Evan</cp:lastModifiedBy>
  <dcterms:created xsi:type="dcterms:W3CDTF">2026-06-10T09:22:00Z</dcterms:created>
  <dcterms:modified xsi:type="dcterms:W3CDTF">2026-09-15T02:29:15Z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3931A2A85EC14BB2A4217322849904A9_11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