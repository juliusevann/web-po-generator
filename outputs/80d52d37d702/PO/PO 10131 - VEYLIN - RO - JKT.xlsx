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EVERBEST\NEW_GENERATOR\webapp\outputs\80d52d37d702\PO\"/>
    </mc:Choice>
  </mc:AlternateContent>
  <xr:revisionPtr revIDLastSave="0" documentId="8_{A30E02CA-AFD9-4A5B-B21D-FEDEC4EA6D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Sheet1!$A$1:$AB$55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" i="1" l="1"/>
  <c r="J40" i="1"/>
  <c r="E40" i="1"/>
  <c r="A40" i="1"/>
  <c r="A31" i="1"/>
  <c r="A30" i="1"/>
  <c r="Q27" i="1"/>
  <c r="P27" i="1"/>
  <c r="O27" i="1"/>
  <c r="N27" i="1"/>
  <c r="M27" i="1"/>
  <c r="L27" i="1"/>
  <c r="K27" i="1"/>
  <c r="R26" i="1"/>
  <c r="I26" i="1"/>
  <c r="R25" i="1"/>
  <c r="I25" i="1"/>
  <c r="R24" i="1"/>
  <c r="I24" i="1"/>
  <c r="R23" i="1"/>
  <c r="I23" i="1"/>
  <c r="G23" i="1"/>
  <c r="S14" i="1"/>
  <c r="Q14" i="1"/>
  <c r="P14" i="1"/>
  <c r="O14" i="1"/>
  <c r="N14" i="1"/>
  <c r="M14" i="1"/>
  <c r="L14" i="1"/>
  <c r="K14" i="1"/>
  <c r="J14" i="1"/>
  <c r="I14" i="1"/>
  <c r="S13" i="1"/>
  <c r="Q13" i="1"/>
  <c r="P13" i="1"/>
  <c r="O13" i="1"/>
  <c r="N13" i="1"/>
  <c r="M13" i="1"/>
  <c r="L13" i="1"/>
  <c r="K13" i="1"/>
  <c r="J13" i="1"/>
  <c r="I13" i="1"/>
  <c r="O12" i="1"/>
  <c r="P11" i="1"/>
  <c r="O11" i="1"/>
  <c r="R27" i="1" l="1"/>
  <c r="P12" i="1"/>
  <c r="S12" i="1" s="1"/>
  <c r="S11" i="1"/>
  <c r="Q11" i="1"/>
  <c r="Q12" i="1" l="1"/>
  <c r="Q18" i="1" s="1"/>
  <c r="P18" i="1"/>
  <c r="S18" i="1"/>
</calcChain>
</file>

<file path=xl/sharedStrings.xml><?xml version="1.0" encoding="utf-8"?>
<sst xmlns="http://schemas.openxmlformats.org/spreadsheetml/2006/main" count="87" uniqueCount="69">
  <si>
    <t>PURCHASE ORDER</t>
  </si>
  <si>
    <t>PT. LARA THALIA ABADI</t>
  </si>
  <si>
    <t>PO NO</t>
  </si>
  <si>
    <t xml:space="preserve">: </t>
  </si>
  <si>
    <t>EVB</t>
  </si>
  <si>
    <t>EVERBEST TOWER - CENGKARENG BUSINESS CITY TOWER M</t>
  </si>
  <si>
    <t>REPEAT ORDER</t>
  </si>
  <si>
    <t>Jl. Atang Sanjaya no. 21 Benda - Tangerang Banten, Indonesia</t>
  </si>
  <si>
    <t>DATE</t>
  </si>
  <si>
    <t>PHONE : 021 - 2252 9090</t>
  </si>
  <si>
    <t>TO</t>
  </si>
  <si>
    <t>: EDE</t>
  </si>
  <si>
    <t>E-MAIL ADDRESS : buyer@everbestgroup.com</t>
  </si>
  <si>
    <t>DESCRIPTION</t>
  </si>
  <si>
    <t>DEVELOP CODE</t>
  </si>
  <si>
    <t>STYLE NAME</t>
  </si>
  <si>
    <t>COLOUR</t>
  </si>
  <si>
    <t>SIZE RANGE</t>
  </si>
  <si>
    <t>SIZES</t>
  </si>
  <si>
    <t>QTY PAIRS</t>
  </si>
  <si>
    <t>QTY CTN PER 20</t>
  </si>
  <si>
    <t>UNIT PRICE</t>
  </si>
  <si>
    <t>AMOUNT</t>
  </si>
  <si>
    <t>35</t>
  </si>
  <si>
    <t>36</t>
  </si>
  <si>
    <t>37</t>
  </si>
  <si>
    <t>38</t>
  </si>
  <si>
    <t>39</t>
  </si>
  <si>
    <t>40</t>
  </si>
  <si>
    <t>41</t>
  </si>
  <si>
    <r>
      <rPr>
        <b/>
        <sz val="12"/>
        <rFont val="SimSun"/>
        <charset val="134"/>
      </rPr>
      <t>开发代码</t>
    </r>
  </si>
  <si>
    <r>
      <rPr>
        <b/>
        <sz val="12"/>
        <rFont val="SimSun"/>
        <charset val="134"/>
      </rPr>
      <t>款式名称</t>
    </r>
  </si>
  <si>
    <t>US$</t>
  </si>
  <si>
    <t>Delivery Date</t>
  </si>
  <si>
    <t>交货日期</t>
  </si>
  <si>
    <t>LOGO :</t>
  </si>
  <si>
    <t>COLOR</t>
  </si>
  <si>
    <t>TOTAL QTY</t>
  </si>
  <si>
    <t>商标</t>
  </si>
  <si>
    <t>TERM OF PAYMENT:</t>
  </si>
  <si>
    <t>CREDIT</t>
  </si>
  <si>
    <t>CARTON MARK ：</t>
  </si>
  <si>
    <t>( 箱标志 )</t>
  </si>
  <si>
    <t xml:space="preserve">PICTURE ( 图片 ):     </t>
  </si>
  <si>
    <t>Please give us EXTRA TOPLIFT/DIAMOND INSIDE shoesbox, based on the shoes</t>
  </si>
  <si>
    <t>請給我們額外的TOPLIFT/DIAMOND 在鞋盒,根據鞋子</t>
  </si>
  <si>
    <t>SHOE BOX BARCODE :</t>
  </si>
  <si>
    <t>PACKAGING 包装:</t>
  </si>
  <si>
    <t>LINING</t>
  </si>
  <si>
    <t>SHOE MATERIAL CODE</t>
  </si>
  <si>
    <t>QR CODE 二维码:</t>
  </si>
  <si>
    <t>(请贴这些条码在鞋盒按照图片)</t>
  </si>
  <si>
    <t>鞋盒 和 箱子 包法</t>
  </si>
  <si>
    <t>(打印在内里上）</t>
  </si>
  <si>
    <t>鞋子材料贴标</t>
  </si>
  <si>
    <t>INSOLE 垫脚</t>
  </si>
  <si>
    <t>: 10131</t>
  </si>
  <si>
    <t>: 05 Jun 2026</t>
  </si>
  <si>
    <t>EVB LADIES SHOES - PUMP</t>
  </si>
  <si>
    <t>VEYLIN</t>
  </si>
  <si>
    <t>262VB071</t>
  </si>
  <si>
    <t>Upper : FABRIC+PU</t>
  </si>
  <si>
    <t>Lining : PU</t>
  </si>
  <si>
    <t>Insole : PU</t>
  </si>
  <si>
    <t>Outsole : RUBBER</t>
  </si>
  <si>
    <t>Heel Height : 3-5 CM</t>
  </si>
  <si>
    <t>BLACK</t>
  </si>
  <si>
    <t>BEIGE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</si>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</sst>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&quot;-&quot;??_ ;_ @_ "/>
    <numFmt numFmtId="167" formatCode="[$-409]d\-mmm\-yy;@"/>
    <numFmt numFmtId="168" formatCode="[$￥-804]#,##0"/>
    <numFmt numFmtId="169" formatCode="0;0;\-"/>
    <numFmt numFmtId="170" formatCode="_-[$$-409]* #,##0.00_ ;_-[$$-409]* \-#,##0.00\ ;_-[$$-409]* &quot;-&quot;??_ ;_-@_ "/>
  </numFmts>
  <fonts count="35">
    <font>
      <sz val="11"/>
      <color theme="1"/>
      <name val="Calibri"/>
      <charset val="134"/>
      <scheme val="minor"/>
    </font>
    <font>
      <sz val="18"/>
      <color indexed="9"/>
      <name val="Trebuchet MS"/>
      <charset val="134"/>
    </font>
    <font>
      <b/>
      <sz val="18"/>
      <name val="Arial"/>
      <charset val="134"/>
    </font>
    <font>
      <sz val="10"/>
      <name val="Arial"/>
      <charset val="134"/>
    </font>
    <font>
      <b/>
      <sz val="14"/>
      <name val="Arial"/>
      <charset val="134"/>
    </font>
    <font>
      <b/>
      <sz val="14"/>
      <name val="Trebuchet MS"/>
      <charset val="134"/>
    </font>
    <font>
      <b/>
      <sz val="16"/>
      <color indexed="16"/>
      <name val="Arial"/>
      <charset val="134"/>
    </font>
    <font>
      <b/>
      <sz val="14"/>
      <color indexed="9"/>
      <name val="Trebuchet MS"/>
      <charset val="134"/>
    </font>
    <font>
      <sz val="9"/>
      <name val="Arial"/>
      <charset val="134"/>
    </font>
    <font>
      <sz val="14"/>
      <name val="Trebuchet MS"/>
      <charset val="134"/>
    </font>
    <font>
      <b/>
      <sz val="12"/>
      <color indexed="18"/>
      <name val="Trebuchet MS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2"/>
      <name val="Trebuchet MS"/>
      <charset val="134"/>
    </font>
    <font>
      <b/>
      <sz val="11"/>
      <name val="Trebuchet MS"/>
      <charset val="134"/>
    </font>
    <font>
      <b/>
      <sz val="14"/>
      <name val="Calibri"/>
      <charset val="134"/>
    </font>
    <font>
      <sz val="14"/>
      <name val="Calibri"/>
      <charset val="134"/>
    </font>
    <font>
      <b/>
      <sz val="14"/>
      <color rgb="FFDD0806"/>
      <name val="Calibri"/>
      <charset val="134"/>
    </font>
    <font>
      <sz val="14"/>
      <color indexed="10"/>
      <name val="Calibri"/>
      <charset val="134"/>
    </font>
    <font>
      <b/>
      <sz val="28"/>
      <color indexed="10"/>
      <name val="Trebuchet MS"/>
      <charset val="134"/>
    </font>
    <font>
      <sz val="10"/>
      <name val="Trebuchet MS"/>
      <charset val="134"/>
    </font>
    <font>
      <b/>
      <sz val="18"/>
      <name val="Trebuchet MS"/>
      <charset val="134"/>
    </font>
    <font>
      <b/>
      <sz val="12"/>
      <color rgb="FFFF0000"/>
      <name val="Trebuchet MS"/>
      <charset val="134"/>
    </font>
    <font>
      <b/>
      <sz val="10"/>
      <name val="Trebuchet MS"/>
      <charset val="134"/>
    </font>
    <font>
      <b/>
      <sz val="10"/>
      <name val="Arial"/>
      <charset val="134"/>
    </font>
    <font>
      <b/>
      <sz val="12"/>
      <name val="Century Gothic"/>
      <charset val="134"/>
    </font>
    <font>
      <sz val="14"/>
      <name val="Arial"/>
      <charset val="134"/>
    </font>
    <font>
      <sz val="16"/>
      <name val="Arial"/>
      <charset val="134"/>
    </font>
    <font>
      <b/>
      <sz val="13"/>
      <name val="Trebuchet MS"/>
      <charset val="134"/>
    </font>
    <font>
      <sz val="12"/>
      <name val="Trebuchet MS"/>
      <charset val="134"/>
    </font>
    <font>
      <b/>
      <sz val="11"/>
      <color indexed="36"/>
      <name val="Trebuchet MS"/>
      <charset val="134"/>
    </font>
    <font>
      <b/>
      <sz val="12"/>
      <color indexed="16"/>
      <name val="Trebuchet MS"/>
      <charset val="134"/>
    </font>
    <font>
      <sz val="9"/>
      <name val="Trebuchet MS"/>
      <charset val="134"/>
    </font>
    <font>
      <b/>
      <sz val="12"/>
      <name val="SimSun"/>
      <charset val="134"/>
    </font>
    <font>
      <sz val="11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8"/>
      </right>
      <top style="thin">
        <color auto="1"/>
      </top>
      <bottom/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</borders>
  <cellStyleXfs count="6">
    <xf numFmtId="0" fontId="0" fillId="0" borderId="0">
      <alignment vertical="center"/>
    </xf>
    <xf numFmtId="166" fontId="34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</cellStyleXfs>
  <cellXfs count="27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167" fontId="5" fillId="0" borderId="0" xfId="0" applyNumberFormat="1" applyFont="1">
      <alignment vertical="center"/>
    </xf>
    <xf numFmtId="0" fontId="9" fillId="0" borderId="8" xfId="0" applyFont="1" applyBorder="1">
      <alignment vertical="center"/>
    </xf>
    <xf numFmtId="0" fontId="3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left" vertical="center"/>
    </xf>
    <xf numFmtId="167" fontId="5" fillId="0" borderId="8" xfId="0" applyNumberFormat="1" applyFont="1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28" xfId="3" applyFont="1" applyBorder="1" applyAlignment="1">
      <alignment horizontal="center" vertical="center"/>
    </xf>
    <xf numFmtId="168" fontId="13" fillId="0" borderId="28" xfId="1" applyNumberFormat="1" applyFont="1" applyBorder="1" applyAlignment="1">
      <alignment horizontal="center" vertical="center" wrapText="1"/>
    </xf>
    <xf numFmtId="168" fontId="13" fillId="0" borderId="36" xfId="1" applyNumberFormat="1" applyFont="1" applyBorder="1" applyAlignment="1">
      <alignment horizontal="center" vertical="center" wrapText="1"/>
    </xf>
    <xf numFmtId="1" fontId="15" fillId="0" borderId="17" xfId="0" applyNumberFormat="1" applyFont="1" applyBorder="1" applyAlignment="1">
      <alignment horizontal="center" vertical="center" wrapText="1"/>
    </xf>
    <xf numFmtId="0" fontId="16" fillId="0" borderId="5" xfId="5" applyFont="1" applyBorder="1" applyAlignment="1">
      <alignment horizontal="center" vertical="center"/>
    </xf>
    <xf numFmtId="169" fontId="15" fillId="0" borderId="23" xfId="0" applyNumberFormat="1" applyFont="1" applyBorder="1" applyAlignment="1">
      <alignment horizontal="center" vertical="center"/>
    </xf>
    <xf numFmtId="169" fontId="15" fillId="0" borderId="17" xfId="0" applyNumberFormat="1" applyFont="1" applyBorder="1" applyAlignment="1">
      <alignment horizontal="center" vertical="center"/>
    </xf>
    <xf numFmtId="169" fontId="15" fillId="0" borderId="24" xfId="0" applyNumberFormat="1" applyFont="1" applyBorder="1" applyAlignment="1">
      <alignment horizontal="center" vertical="center"/>
    </xf>
    <xf numFmtId="169" fontId="15" fillId="0" borderId="37" xfId="0" applyNumberFormat="1" applyFont="1" applyBorder="1" applyAlignment="1">
      <alignment horizontal="center" vertical="center"/>
    </xf>
    <xf numFmtId="169" fontId="15" fillId="0" borderId="38" xfId="1" applyNumberFormat="1" applyFont="1" applyFill="1" applyBorder="1" applyAlignment="1">
      <alignment horizontal="center" vertical="center"/>
    </xf>
    <xf numFmtId="170" fontId="17" fillId="0" borderId="4" xfId="2" applyNumberFormat="1" applyFont="1" applyFill="1" applyBorder="1" applyAlignment="1">
      <alignment horizontal="center" vertical="center"/>
    </xf>
    <xf numFmtId="170" fontId="15" fillId="0" borderId="39" xfId="2" applyNumberFormat="1" applyFont="1" applyFill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 wrapText="1"/>
    </xf>
    <xf numFmtId="169" fontId="15" fillId="0" borderId="42" xfId="0" applyNumberFormat="1" applyFont="1" applyBorder="1" applyAlignment="1">
      <alignment horizontal="center" vertical="center"/>
    </xf>
    <xf numFmtId="169" fontId="15" fillId="0" borderId="38" xfId="0" applyNumberFormat="1" applyFont="1" applyBorder="1" applyAlignment="1">
      <alignment horizontal="center" vertical="center"/>
    </xf>
    <xf numFmtId="169" fontId="15" fillId="0" borderId="39" xfId="0" applyNumberFormat="1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169" fontId="15" fillId="0" borderId="42" xfId="4" applyNumberFormat="1" applyFont="1" applyBorder="1" applyAlignment="1">
      <alignment horizontal="center" vertical="center"/>
    </xf>
    <xf numFmtId="169" fontId="15" fillId="0" borderId="38" xfId="4" applyNumberFormat="1" applyFont="1" applyBorder="1" applyAlignment="1">
      <alignment horizontal="center" vertical="center"/>
    </xf>
    <xf numFmtId="169" fontId="15" fillId="0" borderId="39" xfId="4" applyNumberFormat="1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6" fillId="0" borderId="45" xfId="5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169" fontId="15" fillId="0" borderId="50" xfId="0" applyNumberFormat="1" applyFont="1" applyBorder="1" applyAlignment="1">
      <alignment horizontal="center" vertical="center"/>
    </xf>
    <xf numFmtId="169" fontId="15" fillId="0" borderId="28" xfId="0" applyNumberFormat="1" applyFont="1" applyBorder="1" applyAlignment="1">
      <alignment horizontal="center" vertical="center"/>
    </xf>
    <xf numFmtId="169" fontId="15" fillId="0" borderId="51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169" fontId="16" fillId="0" borderId="0" xfId="0" applyNumberFormat="1" applyFont="1">
      <alignment vertical="center"/>
    </xf>
    <xf numFmtId="169" fontId="15" fillId="0" borderId="52" xfId="0" applyNumberFormat="1" applyFont="1" applyBorder="1" applyAlignment="1">
      <alignment horizontal="center" vertical="center"/>
    </xf>
    <xf numFmtId="169" fontId="15" fillId="0" borderId="53" xfId="0" applyNumberFormat="1" applyFont="1" applyBorder="1" applyAlignment="1">
      <alignment horizontal="center" vertical="center"/>
    </xf>
    <xf numFmtId="170" fontId="15" fillId="4" borderId="54" xfId="2" applyNumberFormat="1" applyFont="1" applyFill="1" applyBorder="1" applyAlignment="1">
      <alignment vertical="center"/>
    </xf>
    <xf numFmtId="170" fontId="15" fillId="0" borderId="55" xfId="2" applyNumberFormat="1" applyFont="1" applyFill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69" fontId="16" fillId="0" borderId="16" xfId="1" applyNumberFormat="1" applyFont="1" applyBorder="1" applyAlignment="1">
      <alignment horizontal="center" vertical="center"/>
    </xf>
    <xf numFmtId="169" fontId="16" fillId="0" borderId="17" xfId="1" applyNumberFormat="1" applyFont="1" applyBorder="1" applyAlignment="1">
      <alignment horizontal="center" vertical="center"/>
    </xf>
    <xf numFmtId="169" fontId="16" fillId="0" borderId="24" xfId="1" applyNumberFormat="1" applyFont="1" applyBorder="1" applyAlignment="1">
      <alignment horizontal="center" vertical="center"/>
    </xf>
    <xf numFmtId="169" fontId="15" fillId="0" borderId="64" xfId="1" applyNumberFormat="1" applyFont="1" applyBorder="1" applyAlignment="1">
      <alignment horizontal="center" vertical="center"/>
    </xf>
    <xf numFmtId="169" fontId="16" fillId="0" borderId="6" xfId="1" applyNumberFormat="1" applyFont="1" applyBorder="1" applyAlignment="1">
      <alignment horizontal="center" vertical="center"/>
    </xf>
    <xf numFmtId="169" fontId="16" fillId="0" borderId="38" xfId="1" applyNumberFormat="1" applyFont="1" applyBorder="1" applyAlignment="1">
      <alignment horizontal="center" vertical="center"/>
    </xf>
    <xf numFmtId="169" fontId="16" fillId="0" borderId="39" xfId="1" applyNumberFormat="1" applyFont="1" applyBorder="1" applyAlignment="1">
      <alignment horizontal="center" vertical="center"/>
    </xf>
    <xf numFmtId="169" fontId="15" fillId="0" borderId="65" xfId="1" applyNumberFormat="1" applyFont="1" applyBorder="1" applyAlignment="1">
      <alignment horizontal="center" vertical="center"/>
    </xf>
    <xf numFmtId="169" fontId="16" fillId="0" borderId="35" xfId="1" applyNumberFormat="1" applyFont="1" applyBorder="1" applyAlignment="1">
      <alignment horizontal="center" vertical="center"/>
    </xf>
    <xf numFmtId="169" fontId="16" fillId="0" borderId="28" xfId="1" applyNumberFormat="1" applyFont="1" applyBorder="1" applyAlignment="1">
      <alignment horizontal="center" vertical="center"/>
    </xf>
    <xf numFmtId="169" fontId="16" fillId="0" borderId="51" xfId="1" applyNumberFormat="1" applyFont="1" applyBorder="1" applyAlignment="1">
      <alignment horizontal="center" vertical="center"/>
    </xf>
    <xf numFmtId="169" fontId="15" fillId="0" borderId="66" xfId="1" applyNumberFormat="1" applyFont="1" applyBorder="1" applyAlignment="1">
      <alignment horizontal="center" vertical="center"/>
    </xf>
    <xf numFmtId="169" fontId="15" fillId="0" borderId="67" xfId="1" applyNumberFormat="1" applyFont="1" applyBorder="1" applyAlignment="1">
      <alignment horizontal="center" vertical="center"/>
    </xf>
    <xf numFmtId="169" fontId="15" fillId="0" borderId="68" xfId="1" applyNumberFormat="1" applyFont="1" applyBorder="1" applyAlignment="1">
      <alignment horizontal="center" vertical="center"/>
    </xf>
    <xf numFmtId="169" fontId="15" fillId="0" borderId="29" xfId="1" applyNumberFormat="1" applyFont="1" applyBorder="1" applyAlignment="1">
      <alignment horizontal="center" vertical="center"/>
    </xf>
    <xf numFmtId="169" fontId="15" fillId="0" borderId="69" xfId="0" applyNumberFormat="1" applyFont="1" applyBorder="1" applyAlignment="1">
      <alignment horizontal="center" vertical="center"/>
    </xf>
    <xf numFmtId="0" fontId="2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65" fontId="20" fillId="0" borderId="0" xfId="1" applyNumberFormat="1" applyFont="1" applyFill="1" applyBorder="1" applyAlignment="1">
      <alignment vertical="center"/>
    </xf>
    <xf numFmtId="0" fontId="20" fillId="8" borderId="7" xfId="0" applyFont="1" applyFill="1" applyBorder="1">
      <alignment vertical="center"/>
    </xf>
    <xf numFmtId="0" fontId="20" fillId="8" borderId="0" xfId="0" applyFont="1" applyFill="1">
      <alignment vertical="center"/>
    </xf>
    <xf numFmtId="0" fontId="20" fillId="8" borderId="8" xfId="0" applyFont="1" applyFill="1" applyBorder="1">
      <alignment vertical="center"/>
    </xf>
    <xf numFmtId="0" fontId="30" fillId="8" borderId="1" xfId="0" applyFont="1" applyFill="1" applyBorder="1">
      <alignment vertical="center"/>
    </xf>
    <xf numFmtId="0" fontId="20" fillId="8" borderId="2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20" fillId="8" borderId="1" xfId="0" applyFont="1" applyFill="1" applyBorder="1">
      <alignment vertical="center"/>
    </xf>
    <xf numFmtId="0" fontId="31" fillId="8" borderId="2" xfId="0" applyFont="1" applyFill="1" applyBorder="1">
      <alignment vertical="center"/>
    </xf>
    <xf numFmtId="165" fontId="20" fillId="8" borderId="3" xfId="1" applyNumberFormat="1" applyFont="1" applyFill="1" applyBorder="1" applyAlignment="1">
      <alignment vertical="center"/>
    </xf>
    <xf numFmtId="0" fontId="3" fillId="8" borderId="7" xfId="0" applyFont="1" applyFill="1" applyBorder="1">
      <alignment vertical="center"/>
    </xf>
    <xf numFmtId="0" fontId="31" fillId="8" borderId="0" xfId="0" applyFont="1" applyFill="1">
      <alignment vertical="center"/>
    </xf>
    <xf numFmtId="165" fontId="20" fillId="8" borderId="8" xfId="1" applyNumberFormat="1" applyFont="1" applyFill="1" applyBorder="1" applyAlignment="1">
      <alignment vertical="center"/>
    </xf>
    <xf numFmtId="0" fontId="32" fillId="8" borderId="7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3" fillId="8" borderId="0" xfId="0" applyFont="1" applyFill="1">
      <alignment vertical="center"/>
    </xf>
    <xf numFmtId="0" fontId="29" fillId="8" borderId="7" xfId="0" applyFont="1" applyFill="1" applyBorder="1">
      <alignment vertical="center"/>
    </xf>
    <xf numFmtId="0" fontId="29" fillId="8" borderId="0" xfId="0" applyFont="1" applyFill="1">
      <alignment vertical="center"/>
    </xf>
    <xf numFmtId="0" fontId="5" fillId="8" borderId="7" xfId="0" applyFont="1" applyFill="1" applyBorder="1">
      <alignment vertical="center"/>
    </xf>
    <xf numFmtId="0" fontId="20" fillId="8" borderId="9" xfId="0" applyFont="1" applyFill="1" applyBorder="1">
      <alignment vertical="center"/>
    </xf>
    <xf numFmtId="0" fontId="20" fillId="8" borderId="10" xfId="0" applyFont="1" applyFill="1" applyBorder="1">
      <alignment vertical="center"/>
    </xf>
    <xf numFmtId="0" fontId="20" fillId="8" borderId="11" xfId="0" applyFont="1" applyFill="1" applyBorder="1">
      <alignment vertical="center"/>
    </xf>
    <xf numFmtId="0" fontId="30" fillId="8" borderId="9" xfId="0" applyFont="1" applyFill="1" applyBorder="1" applyAlignment="1">
      <alignment horizontal="right" vertical="center"/>
    </xf>
    <xf numFmtId="0" fontId="13" fillId="8" borderId="10" xfId="0" applyFont="1" applyFill="1" applyBorder="1">
      <alignment vertical="center"/>
    </xf>
    <xf numFmtId="0" fontId="13" fillId="8" borderId="10" xfId="0" applyFont="1" applyFill="1" applyBorder="1" applyAlignment="1">
      <alignment horizontal="center" vertical="center"/>
    </xf>
    <xf numFmtId="0" fontId="3" fillId="8" borderId="9" xfId="0" applyFont="1" applyFill="1" applyBorder="1">
      <alignment vertical="center"/>
    </xf>
    <xf numFmtId="0" fontId="29" fillId="8" borderId="10" xfId="0" applyFont="1" applyFill="1" applyBorder="1">
      <alignment vertical="center"/>
    </xf>
    <xf numFmtId="0" fontId="3" fillId="8" borderId="10" xfId="0" applyFont="1" applyFill="1" applyBorder="1">
      <alignment vertical="center"/>
    </xf>
    <xf numFmtId="0" fontId="29" fillId="8" borderId="9" xfId="0" applyFont="1" applyFill="1" applyBorder="1">
      <alignment vertical="center"/>
    </xf>
    <xf numFmtId="165" fontId="20" fillId="8" borderId="11" xfId="1" applyNumberFormat="1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6" fillId="0" borderId="46" xfId="5" applyFont="1" applyBorder="1" applyAlignment="1">
      <alignment horizontal="center" vertical="center"/>
    </xf>
    <xf numFmtId="0" fontId="16" fillId="0" borderId="45" xfId="5" applyFont="1" applyBorder="1" applyAlignment="1">
      <alignment horizontal="center" vertical="center"/>
    </xf>
    <xf numFmtId="0" fontId="16" fillId="0" borderId="44" xfId="5" applyFont="1" applyBorder="1" applyAlignment="1">
      <alignment horizontal="left" vertical="center"/>
    </xf>
    <xf numFmtId="0" fontId="16" fillId="0" borderId="45" xfId="5" applyFont="1" applyBorder="1" applyAlignment="1">
      <alignment horizontal="left" vertical="center"/>
    </xf>
    <xf numFmtId="0" fontId="16" fillId="0" borderId="33" xfId="5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6" fillId="0" borderId="4" xfId="5" applyFont="1" applyBorder="1" applyAlignment="1">
      <alignment horizontal="center" vertical="center"/>
    </xf>
    <xf numFmtId="0" fontId="16" fillId="0" borderId="5" xfId="5" applyFont="1" applyBorder="1" applyAlignment="1">
      <alignment horizontal="center" vertical="center"/>
    </xf>
    <xf numFmtId="0" fontId="16" fillId="0" borderId="43" xfId="5" applyFont="1" applyBorder="1" applyAlignment="1">
      <alignment horizontal="left" vertical="center"/>
    </xf>
    <xf numFmtId="0" fontId="16" fillId="0" borderId="5" xfId="5" applyFont="1" applyBorder="1" applyAlignment="1">
      <alignment horizontal="left" vertical="center"/>
    </xf>
    <xf numFmtId="0" fontId="16" fillId="0" borderId="6" xfId="5" applyFont="1" applyBorder="1" applyAlignment="1">
      <alignment horizontal="left" vertical="center"/>
    </xf>
    <xf numFmtId="0" fontId="13" fillId="0" borderId="13" xfId="3" applyFont="1" applyBorder="1" applyAlignment="1">
      <alignment horizontal="center" vertical="center" wrapText="1"/>
    </xf>
    <xf numFmtId="0" fontId="13" fillId="0" borderId="19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textRotation="180"/>
    </xf>
    <xf numFmtId="0" fontId="15" fillId="0" borderId="9" xfId="0" applyFont="1" applyBorder="1" applyAlignment="1">
      <alignment horizontal="center" vertical="center" textRotation="180"/>
    </xf>
    <xf numFmtId="0" fontId="13" fillId="0" borderId="23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59" xfId="0" applyFont="1" applyBorder="1" applyAlignment="1">
      <alignment horizontal="left" vertical="center"/>
    </xf>
    <xf numFmtId="169" fontId="16" fillId="0" borderId="23" xfId="0" applyNumberFormat="1" applyFont="1" applyBorder="1" applyAlignment="1">
      <alignment horizontal="center" vertical="center"/>
    </xf>
    <xf numFmtId="169" fontId="16" fillId="0" borderId="2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69" fontId="16" fillId="0" borderId="42" xfId="0" applyNumberFormat="1" applyFont="1" applyBorder="1" applyAlignment="1">
      <alignment horizontal="center" vertical="center"/>
    </xf>
    <xf numFmtId="169" fontId="16" fillId="0" borderId="39" xfId="0" applyNumberFormat="1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169" fontId="16" fillId="0" borderId="50" xfId="0" applyNumberFormat="1" applyFont="1" applyBorder="1" applyAlignment="1">
      <alignment horizontal="center" vertical="center"/>
    </xf>
    <xf numFmtId="169" fontId="16" fillId="0" borderId="51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169" fontId="15" fillId="0" borderId="3" xfId="0" applyNumberFormat="1" applyFont="1" applyBorder="1" applyAlignment="1">
      <alignment horizontal="center" vertical="center"/>
    </xf>
    <xf numFmtId="169" fontId="15" fillId="0" borderId="7" xfId="0" applyNumberFormat="1" applyFont="1" applyBorder="1" applyAlignment="1">
      <alignment horizontal="center" vertical="center"/>
    </xf>
    <xf numFmtId="169" fontId="15" fillId="0" borderId="8" xfId="0" applyNumberFormat="1" applyFont="1" applyBorder="1" applyAlignment="1">
      <alignment horizontal="center" vertical="center"/>
    </xf>
    <xf numFmtId="169" fontId="15" fillId="0" borderId="9" xfId="0" applyNumberFormat="1" applyFont="1" applyBorder="1" applyAlignment="1">
      <alignment horizontal="center" vertical="center"/>
    </xf>
    <xf numFmtId="169" fontId="15" fillId="0" borderId="11" xfId="0" applyNumberFormat="1" applyFont="1" applyBorder="1" applyAlignment="1">
      <alignment horizontal="center" vertical="center"/>
    </xf>
    <xf numFmtId="0" fontId="5" fillId="8" borderId="70" xfId="0" applyFont="1" applyFill="1" applyBorder="1" applyAlignment="1">
      <alignment horizontal="center" vertical="center"/>
    </xf>
    <xf numFmtId="0" fontId="5" fillId="8" borderId="71" xfId="0" applyFont="1" applyFill="1" applyBorder="1" applyAlignment="1">
      <alignment horizontal="center" vertical="center"/>
    </xf>
    <xf numFmtId="0" fontId="5" fillId="8" borderId="72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0" fontId="13" fillId="6" borderId="70" xfId="0" applyFont="1" applyFill="1" applyBorder="1" applyAlignment="1">
      <alignment horizontal="center" vertical="center"/>
    </xf>
    <xf numFmtId="0" fontId="13" fillId="6" borderId="71" xfId="0" applyFont="1" applyFill="1" applyBorder="1" applyAlignment="1">
      <alignment horizontal="center" vertical="center"/>
    </xf>
    <xf numFmtId="0" fontId="13" fillId="6" borderId="72" xfId="0" applyFont="1" applyFill="1" applyBorder="1" applyAlignment="1">
      <alignment horizontal="center" vertical="center"/>
    </xf>
    <xf numFmtId="169" fontId="21" fillId="7" borderId="70" xfId="0" applyNumberFormat="1" applyFont="1" applyFill="1" applyBorder="1" applyAlignment="1">
      <alignment horizontal="center" vertical="center"/>
    </xf>
    <xf numFmtId="169" fontId="21" fillId="7" borderId="71" xfId="0" applyNumberFormat="1" applyFont="1" applyFill="1" applyBorder="1" applyAlignment="1">
      <alignment horizontal="center" vertical="center"/>
    </xf>
    <xf numFmtId="169" fontId="21" fillId="7" borderId="72" xfId="0" applyNumberFormat="1" applyFont="1" applyFill="1" applyBorder="1" applyAlignment="1">
      <alignment horizontal="center" vertical="center"/>
    </xf>
    <xf numFmtId="169" fontId="26" fillId="0" borderId="70" xfId="0" applyNumberFormat="1" applyFont="1" applyBorder="1" applyAlignment="1">
      <alignment horizontal="center" vertical="center"/>
    </xf>
    <xf numFmtId="169" fontId="26" fillId="0" borderId="71" xfId="0" applyNumberFormat="1" applyFont="1" applyBorder="1" applyAlignment="1">
      <alignment horizontal="center" vertical="center"/>
    </xf>
    <xf numFmtId="169" fontId="26" fillId="0" borderId="72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/>
    </xf>
    <xf numFmtId="0" fontId="20" fillId="0" borderId="74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168" fontId="13" fillId="0" borderId="3" xfId="1" applyNumberFormat="1" applyFont="1" applyBorder="1" applyAlignment="1">
      <alignment horizontal="center" vertical="center" wrapText="1"/>
    </xf>
    <xf numFmtId="168" fontId="13" fillId="0" borderId="26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167" fontId="19" fillId="5" borderId="2" xfId="0" applyNumberFormat="1" applyFont="1" applyFill="1" applyBorder="1" applyAlignment="1">
      <alignment horizontal="center" vertical="center"/>
    </xf>
    <xf numFmtId="167" fontId="19" fillId="5" borderId="3" xfId="0" applyNumberFormat="1" applyFont="1" applyFill="1" applyBorder="1" applyAlignment="1">
      <alignment horizontal="center" vertical="center"/>
    </xf>
    <xf numFmtId="167" fontId="19" fillId="5" borderId="56" xfId="0" applyNumberFormat="1" applyFont="1" applyFill="1" applyBorder="1" applyAlignment="1">
      <alignment horizontal="center" vertical="center"/>
    </xf>
    <xf numFmtId="167" fontId="19" fillId="5" borderId="57" xfId="0" applyNumberFormat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165" fontId="14" fillId="0" borderId="16" xfId="1" applyNumberFormat="1" applyFont="1" applyBorder="1" applyAlignment="1">
      <alignment horizontal="center" vertical="center" wrapText="1"/>
    </xf>
    <xf numFmtId="165" fontId="14" fillId="0" borderId="18" xfId="1" applyNumberFormat="1" applyFont="1" applyBorder="1" applyAlignment="1">
      <alignment horizontal="center" vertical="center" wrapText="1"/>
    </xf>
    <xf numFmtId="165" fontId="14" fillId="0" borderId="35" xfId="1" applyNumberFormat="1" applyFont="1" applyBorder="1" applyAlignment="1">
      <alignment horizontal="center" vertical="center" wrapText="1"/>
    </xf>
    <xf numFmtId="165" fontId="14" fillId="0" borderId="17" xfId="1" applyNumberFormat="1" applyFont="1" applyBorder="1" applyAlignment="1">
      <alignment horizontal="center" vertical="center" wrapText="1"/>
    </xf>
    <xf numFmtId="165" fontId="14" fillId="0" borderId="25" xfId="1" applyNumberFormat="1" applyFont="1" applyBorder="1" applyAlignment="1">
      <alignment horizontal="center" vertical="center" wrapText="1"/>
    </xf>
    <xf numFmtId="165" fontId="14" fillId="0" borderId="28" xfId="1" applyNumberFormat="1" applyFont="1" applyBorder="1" applyAlignment="1">
      <alignment horizontal="center" vertical="center" wrapText="1"/>
    </xf>
    <xf numFmtId="168" fontId="13" fillId="0" borderId="13" xfId="1" applyNumberFormat="1" applyFont="1" applyBorder="1" applyAlignment="1">
      <alignment horizontal="center" vertical="center" wrapText="1"/>
    </xf>
    <xf numFmtId="168" fontId="13" fillId="0" borderId="19" xfId="1" applyNumberFormat="1" applyFont="1" applyBorder="1" applyAlignment="1">
      <alignment horizontal="center" vertical="center" wrapText="1"/>
    </xf>
    <xf numFmtId="0" fontId="16" fillId="0" borderId="47" xfId="0" applyFont="1" applyBorder="1" applyAlignment="1">
      <alignment horizontal="left" vertical="center"/>
    </xf>
    <xf numFmtId="0" fontId="16" fillId="0" borderId="48" xfId="0" applyFont="1" applyBorder="1" applyAlignment="1">
      <alignment horizontal="left" vertical="center"/>
    </xf>
    <xf numFmtId="0" fontId="16" fillId="0" borderId="35" xfId="0" applyFont="1" applyBorder="1" applyAlignment="1">
      <alignment horizontal="left" vertical="center"/>
    </xf>
    <xf numFmtId="0" fontId="16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3" xr:uid="{00000000-0005-0000-0000-000003000000}"/>
    <cellStyle name="Normal_Book1" xfId="5" xr:uid="{00000000-0005-0000-0000-000004000000}"/>
    <cellStyle name="Normal_new" xfId="4" xr:uid="{00000000-0005-0000-0000-000005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81412</xdr:colOff>
      <xdr:row>24</xdr:row>
      <xdr:rowOff>130256</xdr:rowOff>
    </xdr:from>
    <xdr:to>
      <xdr:col>4</xdr:col>
      <xdr:colOff>1123462</xdr:colOff>
      <xdr:row>26</xdr:row>
      <xdr:rowOff>195384</xdr:rowOff>
    </xdr:to>
    <xdr:sp macro="" textlink="">
      <xdr:nvSpPr>
        <xdr:cNvPr id="23" name="AutoShape 5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2458591" y="5715000"/>
          <a:ext cx="2214358" cy="553589"/>
        </a:xfrm>
        <a:prstGeom prst="triangle">
          <a:avLst>
            <a:gd name="adj" fmla="val 50000"/>
          </a:avLst>
        </a:prstGeom>
        <a:solidFill>
          <a:srgbClr val="FFFFFF"/>
        </a:solidFill>
        <a:ln w="25400" algn="ctr">
          <a:solidFill>
            <a:srgbClr val="4F81BD"/>
          </a:solidFill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lnSpc>
              <a:spcPts val="1200"/>
            </a:lnSpc>
            <a:defRPr sz="1000"/>
          </a:pPr>
          <a:r>
            <a:rPr lang="en-US" sz="1200" b="1">
              <a:solidFill>
                <a:srgbClr val="000000"/>
              </a:solidFill>
              <a:latin typeface="Arial" panose="020B0604020202020204"/>
              <a:cs typeface="Arial" panose="020B0604020202020204"/>
              <a:sym typeface="+mn-ea"/>
            </a:rPr>
            <a:t>VL-JKT</a:t>
          </a:r>
        </a:p>
      </xdr:txBody>
    </xdr:sp>
    <xdr:clientData/>
  </xdr:twoCellAnchor>
  <xdr:twoCellAnchor>
    <xdr:from>
      <xdr:col>3</xdr:col>
      <xdr:colOff>761365</xdr:colOff>
      <xdr:row>20</xdr:row>
      <xdr:rowOff>73660</xdr:rowOff>
    </xdr:from>
    <xdr:to>
      <xdr:col>4</xdr:col>
      <xdr:colOff>482600</xdr:colOff>
      <xdr:row>21</xdr:row>
      <xdr:rowOff>156845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840" y="4883785"/>
          <a:ext cx="835660" cy="330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59055</xdr:colOff>
      <xdr:row>43</xdr:row>
      <xdr:rowOff>122555</xdr:rowOff>
    </xdr:from>
    <xdr:to>
      <xdr:col>16</xdr:col>
      <xdr:colOff>104140</xdr:colOff>
      <xdr:row>49</xdr:row>
      <xdr:rowOff>23495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3605" y="10723880"/>
          <a:ext cx="1207135" cy="138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125095</xdr:colOff>
      <xdr:row>43</xdr:row>
      <xdr:rowOff>167640</xdr:rowOff>
    </xdr:from>
    <xdr:to>
      <xdr:col>12</xdr:col>
      <xdr:colOff>406400</xdr:colOff>
      <xdr:row>47</xdr:row>
      <xdr:rowOff>167640</xdr:rowOff>
    </xdr:to>
    <xdr:pic>
      <xdr:nvPicPr>
        <xdr:cNvPr id="26" name="Picture 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4520" y="10768965"/>
          <a:ext cx="2024380" cy="9906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9</xdr:col>
      <xdr:colOff>113303</xdr:colOff>
      <xdr:row>47</xdr:row>
      <xdr:rowOff>117136</xdr:rowOff>
    </xdr:from>
    <xdr:ext cx="2081638" cy="368314"/>
    <xdr:sp macro="" textlink="">
      <xdr:nvSpPr>
        <xdr:cNvPr id="27" name="TextBox 4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6942455" y="11708765"/>
          <a:ext cx="2081530" cy="368300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rgbClr val="FFFF00"/>
              </a:solidFill>
            </a:rPr>
            <a:t>编号，码数，生产号码</a:t>
          </a:r>
          <a:endParaRPr lang="en-US" sz="1400">
            <a:solidFill>
              <a:srgbClr val="FFFF00"/>
            </a:solidFill>
          </a:endParaRPr>
        </a:p>
      </xdr:txBody>
    </xdr:sp>
    <xdr:clientData/>
  </xdr:oneCellAnchor>
  <xdr:twoCellAnchor>
    <xdr:from>
      <xdr:col>4</xdr:col>
      <xdr:colOff>160655</xdr:colOff>
      <xdr:row>50</xdr:row>
      <xdr:rowOff>103505</xdr:rowOff>
    </xdr:from>
    <xdr:to>
      <xdr:col>8</xdr:col>
      <xdr:colOff>485140</xdr:colOff>
      <xdr:row>57</xdr:row>
      <xdr:rowOff>40640</xdr:rowOff>
    </xdr:to>
    <xdr:grpSp>
      <xdr:nvGrpSpPr>
        <xdr:cNvPr id="28" name="Group 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3567674" y="12540957"/>
          <a:ext cx="3200303" cy="1732231"/>
          <a:chOff x="6283" y="22707"/>
          <a:chExt cx="6844" cy="2073"/>
        </a:xfrm>
      </xdr:grpSpPr>
      <xdr:pic>
        <xdr:nvPicPr>
          <xdr:cNvPr id="29" name="Picture 10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83" y="22718"/>
            <a:ext cx="2685" cy="2062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Picture 12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9389" y="22707"/>
            <a:ext cx="2891" cy="2073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31" name="TextBox 48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/>
        </xdr:nvSpPr>
        <xdr:spPr>
          <a:xfrm>
            <a:off x="9754" y="23142"/>
            <a:ext cx="3373" cy="851"/>
          </a:xfrm>
          <a:prstGeom prst="rect">
            <a:avLst/>
          </a:prstGeom>
          <a:solidFill>
            <a:schemeClr val="tx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请用</a:t>
            </a:r>
            <a:r>
              <a:rPr 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LTA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胶带封箱</a:t>
            </a:r>
            <a:r>
              <a:rPr lang="zh-CN" altLang="en-US" sz="1200">
                <a:solidFill>
                  <a:srgbClr val="FFFF00"/>
                </a:solidFill>
              </a:rPr>
              <a:t> 。</a:t>
            </a:r>
            <a:r>
              <a:rPr lang="zh-CN" altLang="en-US" sz="1200" b="0" i="0" u="none" strike="noStrike">
                <a:solidFill>
                  <a:srgbClr val="FFFF00"/>
                </a:solidFill>
                <a:effectLst/>
                <a:latin typeface="+mn-lt"/>
                <a:ea typeface="+mn-ea"/>
                <a:cs typeface="+mn-cs"/>
              </a:rPr>
              <a:t>请看图片</a:t>
            </a:r>
            <a:endParaRPr lang="en-US" sz="1200">
              <a:solidFill>
                <a:srgbClr val="FFFF00"/>
              </a:solidFill>
            </a:endParaRPr>
          </a:p>
        </xdr:txBody>
      </xdr:sp>
    </xdr:grpSp>
    <xdr:clientData/>
  </xdr:twoCellAnchor>
  <xdr:twoCellAnchor editAs="oneCell">
    <xdr:from>
      <xdr:col>14</xdr:col>
      <xdr:colOff>59055</xdr:colOff>
      <xdr:row>49</xdr:row>
      <xdr:rowOff>145415</xdr:rowOff>
    </xdr:from>
    <xdr:to>
      <xdr:col>15</xdr:col>
      <xdr:colOff>574040</xdr:colOff>
      <xdr:row>55</xdr:row>
      <xdr:rowOff>72390</xdr:rowOff>
    </xdr:to>
    <xdr:pic>
      <xdr:nvPicPr>
        <xdr:cNvPr id="32" name="Picture 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93605" y="12232640"/>
          <a:ext cx="1096010" cy="141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450215</xdr:colOff>
      <xdr:row>51</xdr:row>
      <xdr:rowOff>137795</xdr:rowOff>
    </xdr:from>
    <xdr:to>
      <xdr:col>11</xdr:col>
      <xdr:colOff>542925</xdr:colOff>
      <xdr:row>55</xdr:row>
      <xdr:rowOff>29845</xdr:rowOff>
    </xdr:to>
    <xdr:pic>
      <xdr:nvPicPr>
        <xdr:cNvPr id="33" name="Picture 114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79640" y="12720320"/>
          <a:ext cx="1254760" cy="88265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17</xdr:col>
      <xdr:colOff>139700</xdr:colOff>
      <xdr:row>43</xdr:row>
      <xdr:rowOff>167640</xdr:rowOff>
    </xdr:from>
    <xdr:to>
      <xdr:col>18</xdr:col>
      <xdr:colOff>833120</xdr:colOff>
      <xdr:row>46</xdr:row>
      <xdr:rowOff>134620</xdr:rowOff>
    </xdr:to>
    <xdr:pic>
      <xdr:nvPicPr>
        <xdr:cNvPr id="34" name="Picture 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17325" y="10768965"/>
          <a:ext cx="1541145" cy="70993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18</xdr:col>
      <xdr:colOff>95885</xdr:colOff>
      <xdr:row>47</xdr:row>
      <xdr:rowOff>137795</xdr:rowOff>
    </xdr:from>
    <xdr:to>
      <xdr:col>18</xdr:col>
      <xdr:colOff>1014730</xdr:colOff>
      <xdr:row>54</xdr:row>
      <xdr:rowOff>161290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21235" y="11729720"/>
          <a:ext cx="918845" cy="1757045"/>
        </a:xfrm>
        <a:prstGeom prst="rect">
          <a:avLst/>
        </a:prstGeom>
        <a:noFill/>
        <a:ln w="1">
          <a:noFill/>
        </a:ln>
      </xdr:spPr>
    </xdr:pic>
    <xdr:clientData/>
  </xdr:twoCellAnchor>
  <xdr:twoCellAnchor>
    <xdr:from>
      <xdr:col>0</xdr:col>
      <xdr:colOff>9525</xdr:colOff>
      <xdr:row>43</xdr:row>
      <xdr:rowOff>123825</xdr:rowOff>
    </xdr:from>
    <xdr:to>
      <xdr:col>3</xdr:col>
      <xdr:colOff>878840</xdr:colOff>
      <xdr:row>54</xdr:row>
      <xdr:rowOff>217805</xdr:rowOff>
    </xdr:to>
    <xdr:grpSp>
      <xdr:nvGrpSpPr>
        <xdr:cNvPr id="36" name="Group 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9525" y="10766181"/>
          <a:ext cx="3158978" cy="2914845"/>
          <a:chOff x="-13" y="20205"/>
          <a:chExt cx="6264" cy="4118"/>
        </a:xfrm>
      </xdr:grpSpPr>
      <xdr:pic>
        <xdr:nvPicPr>
          <xdr:cNvPr id="37" name="Picture 6" descr="foto box shoes 30th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38" name="Oval 51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4</xdr:col>
      <xdr:colOff>561340</xdr:colOff>
      <xdr:row>43</xdr:row>
      <xdr:rowOff>75565</xdr:rowOff>
    </xdr:from>
    <xdr:to>
      <xdr:col>8</xdr:col>
      <xdr:colOff>43815</xdr:colOff>
      <xdr:row>48</xdr:row>
      <xdr:rowOff>173990</xdr:rowOff>
    </xdr:to>
    <xdr:grpSp>
      <xdr:nvGrpSpPr>
        <xdr:cNvPr id="39" name="Group 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3968359" y="10717921"/>
          <a:ext cx="2358293" cy="1380636"/>
          <a:chOff x="-13" y="20205"/>
          <a:chExt cx="6264" cy="4118"/>
        </a:xfrm>
      </xdr:grpSpPr>
      <xdr:pic>
        <xdr:nvPicPr>
          <xdr:cNvPr id="40" name="Picture 6" descr="foto box shoes 30th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-13" y="20205"/>
            <a:ext cx="6265" cy="4118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41" name="Oval 5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4647" y="21868"/>
            <a:ext cx="802" cy="46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</xdr:grpSp>
    <xdr:clientData/>
  </xdr:twoCellAnchor>
  <xdr:twoCellAnchor>
    <xdr:from>
      <xdr:col>4</xdr:col>
      <xdr:colOff>443230</xdr:colOff>
      <xdr:row>47</xdr:row>
      <xdr:rowOff>194945</xdr:rowOff>
    </xdr:from>
    <xdr:to>
      <xdr:col>8</xdr:col>
      <xdr:colOff>28575</xdr:colOff>
      <xdr:row>49</xdr:row>
      <xdr:rowOff>128905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3834130" y="11786870"/>
          <a:ext cx="2442845" cy="429260"/>
        </a:xfrm>
        <a:prstGeom prst="rect">
          <a:avLst/>
        </a:prstGeom>
        <a:solidFill>
          <a:srgbClr val="EE44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PINK BOX</a:t>
          </a:r>
        </a:p>
      </xdr:txBody>
    </xdr:sp>
    <xdr:clientData/>
  </xdr:twoCellAnchor>
  <xdr:twoCellAnchor>
    <xdr:from>
      <xdr:col>0</xdr:col>
      <xdr:colOff>75565</xdr:colOff>
      <xdr:row>55</xdr:row>
      <xdr:rowOff>142875</xdr:rowOff>
    </xdr:from>
    <xdr:to>
      <xdr:col>3</xdr:col>
      <xdr:colOff>883285</xdr:colOff>
      <xdr:row>57</xdr:row>
      <xdr:rowOff>67310</xdr:rowOff>
    </xdr:to>
    <xdr:sp macro="" textlink="">
      <xdr:nvSpPr>
        <xdr:cNvPr id="43" name="Text 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5565" y="13716000"/>
          <a:ext cx="3084195" cy="419735"/>
        </a:xfrm>
        <a:prstGeom prst="rect">
          <a:avLst/>
        </a:prstGeom>
        <a:solidFill>
          <a:srgbClr val="EE44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 b="1"/>
            <a:t>PINK BOX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topLeftCell="A4" zoomScale="52" zoomScaleNormal="25" workbookViewId="0">
      <selection activeCell="G5" sqref="G5"/>
    </sheetView>
  </sheetViews>
  <sheetFormatPr defaultColWidth="9.140625" defaultRowHeight="15"/>
  <cols>
    <col min="1" max="1" width="16.7109375" customWidth="1"/>
    <col min="2" max="3" width="8.7109375" customWidth="1"/>
    <col min="4" max="5" width="16.7109375" customWidth="1"/>
    <col min="6" max="17" width="8.7109375" customWidth="1"/>
    <col min="18" max="18" width="12.7109375" customWidth="1"/>
    <col min="19" max="19" width="16.7109375" customWidth="1"/>
    <col min="20" max="20" width="4.7109375" customWidth="1"/>
    <col min="21" max="21" width="8.7109375" customWidth="1"/>
  </cols>
  <sheetData>
    <row r="1" spans="1:21" ht="23.25">
      <c r="A1" s="118" t="s">
        <v>0</v>
      </c>
      <c r="B1" s="118"/>
      <c r="C1" s="118"/>
      <c r="D1" s="118"/>
      <c r="E1" s="118"/>
      <c r="F1" s="1"/>
      <c r="G1" s="1"/>
      <c r="H1" s="2"/>
      <c r="I1" s="1"/>
      <c r="J1" s="3"/>
      <c r="K1" s="3"/>
      <c r="L1" s="3"/>
      <c r="M1" s="3"/>
      <c r="N1" s="3"/>
      <c r="O1" s="119" t="s">
        <v>1</v>
      </c>
      <c r="P1" s="119"/>
      <c r="Q1" s="119"/>
      <c r="R1" s="119"/>
      <c r="S1" s="119"/>
      <c r="T1" s="119"/>
    </row>
    <row r="2" spans="1:21" ht="20.25">
      <c r="A2" s="4" t="s">
        <v>2</v>
      </c>
      <c r="B2" s="5" t="s">
        <v>56</v>
      </c>
      <c r="C2" s="5"/>
      <c r="D2" s="6" t="s">
        <v>3</v>
      </c>
      <c r="E2" s="7"/>
      <c r="F2" s="8"/>
      <c r="G2" s="8"/>
      <c r="I2" s="120" t="s">
        <v>4</v>
      </c>
      <c r="J2" s="121"/>
      <c r="K2" s="121"/>
      <c r="L2" s="122"/>
      <c r="M2" s="3"/>
      <c r="N2" s="3"/>
      <c r="O2" s="123" t="s">
        <v>5</v>
      </c>
      <c r="P2" s="123"/>
      <c r="Q2" s="123"/>
      <c r="R2" s="123"/>
      <c r="S2" s="123"/>
      <c r="T2" s="123"/>
    </row>
    <row r="3" spans="1:21" ht="18.75">
      <c r="A3" s="9"/>
      <c r="B3" s="10"/>
      <c r="C3" s="10"/>
      <c r="D3" s="11"/>
      <c r="E3" s="12"/>
      <c r="F3" s="13"/>
      <c r="G3" s="13"/>
      <c r="I3" s="114" t="s">
        <v>6</v>
      </c>
      <c r="J3" s="115"/>
      <c r="K3" s="115"/>
      <c r="L3" s="116"/>
      <c r="M3" s="3"/>
      <c r="N3" s="3"/>
      <c r="O3" s="124" t="s">
        <v>7</v>
      </c>
      <c r="P3" s="124"/>
      <c r="Q3" s="124"/>
      <c r="R3" s="124"/>
      <c r="S3" s="124"/>
      <c r="T3" s="124"/>
    </row>
    <row r="4" spans="1:21" ht="18.75">
      <c r="A4" s="9" t="s">
        <v>8</v>
      </c>
      <c r="B4" s="10" t="s">
        <v>57</v>
      </c>
      <c r="C4" s="10"/>
      <c r="D4" s="14" t="s">
        <v>3</v>
      </c>
      <c r="E4" s="15"/>
      <c r="F4" s="13"/>
      <c r="G4" s="13"/>
      <c r="I4" s="114"/>
      <c r="J4" s="115"/>
      <c r="K4" s="115"/>
      <c r="L4" s="116"/>
      <c r="M4" s="3"/>
      <c r="N4" s="3"/>
      <c r="O4" s="117" t="s">
        <v>9</v>
      </c>
      <c r="P4" s="117"/>
      <c r="Q4" s="117"/>
      <c r="R4" s="117"/>
      <c r="S4" s="117"/>
      <c r="T4" s="117"/>
    </row>
    <row r="5" spans="1:21" ht="18.75">
      <c r="A5" s="9" t="s">
        <v>10</v>
      </c>
      <c r="B5" s="10"/>
      <c r="C5" s="10"/>
      <c r="D5" s="112" t="s">
        <v>11</v>
      </c>
      <c r="E5" s="113"/>
      <c r="F5" s="17"/>
      <c r="G5" s="17"/>
      <c r="I5" s="114"/>
      <c r="J5" s="115"/>
      <c r="K5" s="115"/>
      <c r="L5" s="116"/>
      <c r="M5" s="3"/>
      <c r="N5" s="3"/>
      <c r="O5" s="117" t="s">
        <v>12</v>
      </c>
      <c r="P5" s="117"/>
      <c r="Q5" s="117"/>
      <c r="R5" s="117"/>
      <c r="S5" s="117"/>
      <c r="T5" s="117"/>
    </row>
    <row r="6" spans="1:21" ht="18.75">
      <c r="A6" s="18"/>
      <c r="B6" s="19"/>
      <c r="C6" s="19"/>
      <c r="D6" s="134"/>
      <c r="E6" s="135"/>
      <c r="F6" s="17"/>
      <c r="G6" s="17"/>
      <c r="H6" s="17"/>
      <c r="I6" s="3"/>
      <c r="J6" s="3"/>
      <c r="K6" s="3"/>
      <c r="L6" s="3"/>
      <c r="M6" s="3"/>
      <c r="N6" s="3"/>
      <c r="O6" s="16"/>
      <c r="P6" s="16"/>
      <c r="Q6" s="16"/>
      <c r="R6" s="16"/>
      <c r="S6" s="16"/>
      <c r="T6" s="16"/>
      <c r="U6" s="16"/>
    </row>
    <row r="7" spans="1:21">
      <c r="A7" s="3"/>
      <c r="B7" s="3"/>
      <c r="C7" s="3"/>
      <c r="D7" s="3"/>
      <c r="E7" s="3"/>
      <c r="F7" s="13"/>
      <c r="G7" s="13"/>
      <c r="H7" s="13"/>
      <c r="I7" s="3"/>
      <c r="J7" s="3"/>
      <c r="K7" s="3"/>
      <c r="L7" s="3"/>
      <c r="M7" s="13"/>
      <c r="N7" s="3"/>
      <c r="O7" s="3"/>
      <c r="P7" s="3"/>
      <c r="Q7" s="3"/>
      <c r="R7" s="3"/>
      <c r="S7" s="3"/>
      <c r="T7" s="3"/>
      <c r="U7" s="3"/>
    </row>
    <row r="8" spans="1:21" ht="18">
      <c r="A8" s="233" t="s">
        <v>13</v>
      </c>
      <c r="B8" s="234"/>
      <c r="C8" s="235"/>
      <c r="D8" s="144" t="s">
        <v>14</v>
      </c>
      <c r="E8" s="146" t="s">
        <v>15</v>
      </c>
      <c r="F8" s="242" t="s">
        <v>16</v>
      </c>
      <c r="G8" s="137"/>
      <c r="H8" s="148" t="s">
        <v>17</v>
      </c>
      <c r="I8" s="136" t="s">
        <v>18</v>
      </c>
      <c r="J8" s="137"/>
      <c r="K8" s="137"/>
      <c r="L8" s="137"/>
      <c r="M8" s="137"/>
      <c r="N8" s="137"/>
      <c r="O8" s="138"/>
      <c r="P8" s="257" t="s">
        <v>19</v>
      </c>
      <c r="Q8" s="260" t="s">
        <v>20</v>
      </c>
      <c r="R8" s="263" t="s">
        <v>21</v>
      </c>
      <c r="S8" s="231" t="s">
        <v>22</v>
      </c>
    </row>
    <row r="9" spans="1:21">
      <c r="A9" s="236"/>
      <c r="B9" s="237"/>
      <c r="C9" s="238"/>
      <c r="D9" s="145"/>
      <c r="E9" s="147"/>
      <c r="F9" s="243"/>
      <c r="G9" s="244"/>
      <c r="H9" s="149"/>
      <c r="I9" s="153" t="s">
        <v>23</v>
      </c>
      <c r="J9" s="125" t="s">
        <v>24</v>
      </c>
      <c r="K9" s="125" t="s">
        <v>25</v>
      </c>
      <c r="L9" s="125" t="s">
        <v>26</v>
      </c>
      <c r="M9" s="127" t="s">
        <v>27</v>
      </c>
      <c r="N9" s="125" t="s">
        <v>28</v>
      </c>
      <c r="O9" s="255" t="s">
        <v>29</v>
      </c>
      <c r="P9" s="258"/>
      <c r="Q9" s="261"/>
      <c r="R9" s="264"/>
      <c r="S9" s="232"/>
    </row>
    <row r="10" spans="1:21" ht="18">
      <c r="A10" s="239"/>
      <c r="B10" s="240"/>
      <c r="C10" s="241"/>
      <c r="D10" s="22" t="s">
        <v>30</v>
      </c>
      <c r="E10" s="21" t="s">
        <v>31</v>
      </c>
      <c r="F10" s="245"/>
      <c r="G10" s="246"/>
      <c r="H10" s="150"/>
      <c r="I10" s="154"/>
      <c r="J10" s="126"/>
      <c r="K10" s="126"/>
      <c r="L10" s="126"/>
      <c r="M10" s="128"/>
      <c r="N10" s="126"/>
      <c r="O10" s="256"/>
      <c r="P10" s="259"/>
      <c r="Q10" s="262"/>
      <c r="R10" s="23" t="s">
        <v>32</v>
      </c>
      <c r="S10" s="24" t="s">
        <v>32</v>
      </c>
    </row>
    <row r="11" spans="1:21" ht="18.75">
      <c r="A11" s="247" t="s">
        <v>58</v>
      </c>
      <c r="B11" s="248"/>
      <c r="C11" s="248"/>
      <c r="D11" s="25" t="s">
        <v>60</v>
      </c>
      <c r="E11" s="26" t="s">
        <v>59</v>
      </c>
      <c r="F11" s="139" t="s">
        <v>66</v>
      </c>
      <c r="G11" s="140"/>
      <c r="H11" s="151" t="s">
        <v>68</v>
      </c>
      <c r="I11" s="27">
        <v>7</v>
      </c>
      <c r="J11" s="28">
        <v>9</v>
      </c>
      <c r="K11" s="28">
        <v>18</v>
      </c>
      <c r="L11" s="28">
        <v>18</v>
      </c>
      <c r="M11" s="28">
        <v>9</v>
      </c>
      <c r="N11" s="28">
        <v>7</v>
      </c>
      <c r="O11" s="29">
        <f t="shared" ref="I11:O11" si="0">Q23</f>
        <v>0</v>
      </c>
      <c r="P11" s="30">
        <f>SUM(I11:O11)</f>
        <v>68</v>
      </c>
      <c r="Q11" s="31">
        <f t="shared" ref="Q11:Q14" si="1">P11/20</f>
        <v>3.4</v>
      </c>
      <c r="R11" s="32">
        <v>16.57</v>
      </c>
      <c r="S11" s="33">
        <f t="shared" ref="S11:S14" si="2">R11*P11</f>
        <v>1126.76</v>
      </c>
    </row>
    <row r="12" spans="1:21" ht="18.75">
      <c r="A12" s="249"/>
      <c r="B12" s="250"/>
      <c r="C12" s="250"/>
      <c r="D12" s="34"/>
      <c r="E12" s="26"/>
      <c r="F12" s="139" t="s">
        <v>67</v>
      </c>
      <c r="G12" s="140"/>
      <c r="H12" s="151"/>
      <c r="I12" s="35">
        <v>11</v>
      </c>
      <c r="J12" s="36">
        <v>14</v>
      </c>
      <c r="K12" s="36">
        <v>23</v>
      </c>
      <c r="L12" s="36">
        <v>23</v>
      </c>
      <c r="M12" s="36">
        <v>14</v>
      </c>
      <c r="N12" s="36">
        <v>11</v>
      </c>
      <c r="O12" s="37" t="str">
        <f t="shared" ref="I12:O12" si="3">Q24</f>
        <v>-</v>
      </c>
      <c r="P12" s="30">
        <f>SUM(I12:O12)</f>
        <v>96</v>
      </c>
      <c r="Q12" s="31">
        <f t="shared" si="1"/>
        <v>4.8</v>
      </c>
      <c r="R12" s="32">
        <v>16.57</v>
      </c>
      <c r="S12" s="33">
        <f t="shared" si="2"/>
        <v>1590.72</v>
      </c>
    </row>
    <row r="13" spans="1:21" ht="18.75">
      <c r="A13" s="141" t="s">
        <v>61</v>
      </c>
      <c r="B13" s="142"/>
      <c r="C13" s="143"/>
      <c r="D13" s="38"/>
      <c r="E13" s="26"/>
      <c r="F13" s="139"/>
      <c r="G13" s="140"/>
      <c r="H13" s="151"/>
      <c r="I13" s="39">
        <f t="shared" ref="I13:O13" si="4">-K25</f>
        <v>0</v>
      </c>
      <c r="J13" s="40">
        <f t="shared" si="4"/>
        <v>0</v>
      </c>
      <c r="K13" s="40">
        <f t="shared" si="4"/>
        <v>0</v>
      </c>
      <c r="L13" s="40">
        <f t="shared" si="4"/>
        <v>0</v>
      </c>
      <c r="M13" s="40">
        <f t="shared" si="4"/>
        <v>0</v>
      </c>
      <c r="N13" s="40">
        <f t="shared" si="4"/>
        <v>0</v>
      </c>
      <c r="O13" s="41">
        <f t="shared" si="4"/>
        <v>0</v>
      </c>
      <c r="P13" s="30">
        <f>SUM(I13:L13)*12+SUM(M13:O13)*8</f>
        <v>0</v>
      </c>
      <c r="Q13" s="31">
        <f t="shared" si="1"/>
        <v>0</v>
      </c>
      <c r="R13" s="32">
        <v>0</v>
      </c>
      <c r="S13" s="33">
        <f t="shared" si="2"/>
        <v>0</v>
      </c>
    </row>
    <row r="14" spans="1:21" ht="18.75">
      <c r="A14" s="131" t="s">
        <v>62</v>
      </c>
      <c r="B14" s="132"/>
      <c r="C14" s="133"/>
      <c r="D14" s="42"/>
      <c r="E14" s="43"/>
      <c r="F14" s="129"/>
      <c r="G14" s="130"/>
      <c r="H14" s="151"/>
      <c r="I14" s="39">
        <f t="shared" ref="I14:O14" si="5">-K26</f>
        <v>0</v>
      </c>
      <c r="J14" s="40">
        <f t="shared" si="5"/>
        <v>0</v>
      </c>
      <c r="K14" s="40">
        <f t="shared" si="5"/>
        <v>0</v>
      </c>
      <c r="L14" s="40">
        <f t="shared" si="5"/>
        <v>0</v>
      </c>
      <c r="M14" s="40">
        <f t="shared" si="5"/>
        <v>0</v>
      </c>
      <c r="N14" s="40">
        <f t="shared" si="5"/>
        <v>0</v>
      </c>
      <c r="O14" s="41">
        <f t="shared" si="5"/>
        <v>0</v>
      </c>
      <c r="P14" s="30">
        <f>SUM(I14:L14)*12+SUM(M14:O14)*8</f>
        <v>0</v>
      </c>
      <c r="Q14" s="31">
        <f t="shared" si="1"/>
        <v>0</v>
      </c>
      <c r="R14" s="32">
        <v>0</v>
      </c>
      <c r="S14" s="33">
        <f t="shared" si="2"/>
        <v>0</v>
      </c>
    </row>
    <row r="15" spans="1:21" ht="18.75">
      <c r="A15" s="131" t="s">
        <v>63</v>
      </c>
      <c r="B15" s="132"/>
      <c r="C15" s="133"/>
      <c r="D15" s="42"/>
      <c r="E15" s="43"/>
      <c r="F15" s="129"/>
      <c r="G15" s="130"/>
      <c r="H15" s="151"/>
      <c r="I15" s="39"/>
      <c r="J15" s="36"/>
      <c r="K15" s="36"/>
      <c r="L15" s="36"/>
      <c r="M15" s="40"/>
      <c r="N15" s="36"/>
      <c r="O15" s="37"/>
      <c r="P15" s="30"/>
      <c r="Q15" s="31"/>
      <c r="R15" s="32"/>
      <c r="S15" s="33"/>
    </row>
    <row r="16" spans="1:21" ht="18.75">
      <c r="A16" s="131" t="s">
        <v>64</v>
      </c>
      <c r="B16" s="132"/>
      <c r="C16" s="133"/>
      <c r="D16" s="42"/>
      <c r="E16" s="43"/>
      <c r="F16" s="129"/>
      <c r="G16" s="130"/>
      <c r="H16" s="151"/>
      <c r="I16" s="39"/>
      <c r="J16" s="36"/>
      <c r="K16" s="36"/>
      <c r="L16" s="36"/>
      <c r="M16" s="40"/>
      <c r="N16" s="36"/>
      <c r="O16" s="37"/>
      <c r="P16" s="30"/>
      <c r="Q16" s="31"/>
      <c r="R16" s="32"/>
      <c r="S16" s="33"/>
    </row>
    <row r="17" spans="1:21" ht="18.75">
      <c r="A17" s="265" t="s">
        <v>65</v>
      </c>
      <c r="B17" s="266"/>
      <c r="C17" s="267"/>
      <c r="D17" s="44"/>
      <c r="E17" s="45"/>
      <c r="F17" s="268"/>
      <c r="G17" s="269"/>
      <c r="H17" s="152"/>
      <c r="I17" s="46"/>
      <c r="J17" s="47"/>
      <c r="K17" s="47"/>
      <c r="L17" s="47"/>
      <c r="M17" s="47"/>
      <c r="N17" s="47"/>
      <c r="O17" s="48"/>
      <c r="P17" s="30"/>
      <c r="Q17" s="31"/>
      <c r="R17" s="32"/>
      <c r="S17" s="33"/>
    </row>
    <row r="18" spans="1:21" ht="19.5" customHeight="1">
      <c r="A18" s="49"/>
      <c r="B18" s="49"/>
      <c r="C18" s="49"/>
      <c r="D18" s="3"/>
      <c r="E18" s="49"/>
      <c r="F18" s="50"/>
      <c r="G18" s="50"/>
      <c r="H18" s="49"/>
      <c r="I18" s="51"/>
      <c r="J18" s="51"/>
      <c r="K18" s="51"/>
      <c r="L18" s="51"/>
      <c r="M18" s="51"/>
      <c r="N18" s="51"/>
      <c r="O18" s="51"/>
      <c r="P18" s="52">
        <f t="shared" ref="P18:S18" si="6">SUM(P11:P17)</f>
        <v>164</v>
      </c>
      <c r="Q18" s="53">
        <f t="shared" si="6"/>
        <v>8.1999999999999993</v>
      </c>
      <c r="R18" s="54"/>
      <c r="S18" s="55">
        <f t="shared" si="6"/>
        <v>2717.48</v>
      </c>
    </row>
    <row r="19" spans="1:21" ht="19.5" customHeight="1">
      <c r="A19" s="270" t="s">
        <v>33</v>
      </c>
      <c r="B19" s="271"/>
      <c r="C19" s="271"/>
      <c r="D19" s="251">
        <v>46209</v>
      </c>
      <c r="E19" s="25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9.5" customHeight="1">
      <c r="A20" s="272" t="s">
        <v>34</v>
      </c>
      <c r="B20" s="273"/>
      <c r="C20" s="273"/>
      <c r="D20" s="253"/>
      <c r="E20" s="254"/>
    </row>
    <row r="21" spans="1:21" ht="19.5" customHeight="1">
      <c r="A21" s="159" t="s">
        <v>35</v>
      </c>
      <c r="B21" s="160"/>
      <c r="C21" s="160"/>
      <c r="D21" s="167"/>
      <c r="E21" s="168"/>
      <c r="G21" s="155" t="s">
        <v>15</v>
      </c>
      <c r="H21" s="171"/>
      <c r="I21" s="174" t="s">
        <v>36</v>
      </c>
      <c r="J21" s="175"/>
      <c r="K21" s="155" t="s">
        <v>18</v>
      </c>
      <c r="L21" s="156"/>
      <c r="M21" s="156"/>
      <c r="N21" s="156"/>
      <c r="O21" s="156"/>
      <c r="P21" s="156"/>
      <c r="Q21" s="156"/>
      <c r="R21" s="211" t="s">
        <v>37</v>
      </c>
    </row>
    <row r="22" spans="1:21" ht="19.5" customHeight="1">
      <c r="A22" s="157" t="s">
        <v>38</v>
      </c>
      <c r="B22" s="158"/>
      <c r="C22" s="158"/>
      <c r="D22" s="169"/>
      <c r="E22" s="170"/>
      <c r="G22" s="172"/>
      <c r="H22" s="173"/>
      <c r="I22" s="176"/>
      <c r="J22" s="177"/>
      <c r="K22" s="56" t="s">
        <v>23</v>
      </c>
      <c r="L22" s="57" t="s">
        <v>24</v>
      </c>
      <c r="M22" s="57" t="s">
        <v>25</v>
      </c>
      <c r="N22" s="57" t="s">
        <v>26</v>
      </c>
      <c r="O22" s="57" t="s">
        <v>27</v>
      </c>
      <c r="P22" s="58" t="s">
        <v>28</v>
      </c>
      <c r="Q22" s="58" t="s">
        <v>29</v>
      </c>
      <c r="R22" s="212"/>
    </row>
    <row r="23" spans="1:21" ht="19.5" customHeight="1">
      <c r="A23" s="159" t="s">
        <v>39</v>
      </c>
      <c r="B23" s="160"/>
      <c r="C23" s="160"/>
      <c r="D23" s="178" t="s">
        <v>40</v>
      </c>
      <c r="E23" s="179"/>
      <c r="G23" s="188" t="str">
        <f>E11</f>
        <v>VEYLIN</v>
      </c>
      <c r="H23" s="189"/>
      <c r="I23" s="161" t="str">
        <f t="shared" ref="I23:I26" si="7">F11</f>
        <v>BLACK</v>
      </c>
      <c r="J23" s="162"/>
      <c r="K23" s="59"/>
      <c r="L23" s="60"/>
      <c r="M23" s="60"/>
      <c r="N23" s="60"/>
      <c r="O23" s="60"/>
      <c r="P23" s="60"/>
      <c r="Q23" s="61"/>
      <c r="R23" s="62">
        <f>SUM(K23:P23)</f>
        <v>0</v>
      </c>
    </row>
    <row r="24" spans="1:21" ht="19.5" customHeight="1">
      <c r="A24" s="163"/>
      <c r="B24" s="164"/>
      <c r="C24" s="164"/>
      <c r="D24" s="180"/>
      <c r="E24" s="181"/>
      <c r="G24" s="190"/>
      <c r="H24" s="191"/>
      <c r="I24" s="165" t="str">
        <f t="shared" si="7"/>
        <v>BEIGE</v>
      </c>
      <c r="J24" s="166"/>
      <c r="K24" s="63" t="s">
        <v>68</v>
      </c>
      <c r="L24" s="64" t="s">
        <v>68</v>
      </c>
      <c r="M24" s="64" t="s">
        <v>68</v>
      </c>
      <c r="N24" s="64" t="s">
        <v>68</v>
      </c>
      <c r="O24" s="64" t="s">
        <v>68</v>
      </c>
      <c r="P24" s="64" t="s">
        <v>68</v>
      </c>
      <c r="Q24" s="65" t="s">
        <v>68</v>
      </c>
      <c r="R24" s="66">
        <f>SUM(K24:P24)</f>
        <v>0</v>
      </c>
    </row>
    <row r="25" spans="1:21" ht="19.5" customHeight="1">
      <c r="A25" s="159" t="s">
        <v>41</v>
      </c>
      <c r="B25" s="160"/>
      <c r="C25" s="160"/>
      <c r="D25" s="167"/>
      <c r="E25" s="168"/>
      <c r="G25" s="190"/>
      <c r="H25" s="191"/>
      <c r="I25" s="165">
        <f t="shared" si="7"/>
        <v>0</v>
      </c>
      <c r="J25" s="166"/>
      <c r="K25" s="63"/>
      <c r="L25" s="64"/>
      <c r="M25" s="64"/>
      <c r="N25" s="64"/>
      <c r="O25" s="64"/>
      <c r="P25" s="64"/>
      <c r="Q25" s="65"/>
      <c r="R25" s="66">
        <f>SUM(K25:P25)</f>
        <v>0</v>
      </c>
    </row>
    <row r="26" spans="1:21" ht="19.5" customHeight="1">
      <c r="A26" s="157" t="s">
        <v>42</v>
      </c>
      <c r="B26" s="158"/>
      <c r="C26" s="158"/>
      <c r="D26" s="169"/>
      <c r="E26" s="170"/>
      <c r="G26" s="192"/>
      <c r="H26" s="193"/>
      <c r="I26" s="182">
        <f t="shared" si="7"/>
        <v>0</v>
      </c>
      <c r="J26" s="183"/>
      <c r="K26" s="67"/>
      <c r="L26" s="68"/>
      <c r="M26" s="68"/>
      <c r="N26" s="68"/>
      <c r="O26" s="68"/>
      <c r="P26" s="68"/>
      <c r="Q26" s="69"/>
      <c r="R26" s="70">
        <f>SUM(K26:P26)</f>
        <v>0</v>
      </c>
    </row>
    <row r="27" spans="1:21" ht="19.5" customHeight="1">
      <c r="A27" s="184"/>
      <c r="B27" s="185"/>
      <c r="C27" s="185"/>
      <c r="D27" s="186"/>
      <c r="E27" s="187"/>
      <c r="G27" s="20"/>
      <c r="H27" s="20"/>
      <c r="I27" s="3"/>
      <c r="J27" s="3"/>
      <c r="K27" s="71">
        <f t="shared" ref="K27:Q27" si="8">SUM(K23:K25)</f>
        <v>0</v>
      </c>
      <c r="L27" s="72">
        <f t="shared" si="8"/>
        <v>0</v>
      </c>
      <c r="M27" s="72">
        <f t="shared" si="8"/>
        <v>0</v>
      </c>
      <c r="N27" s="72">
        <f t="shared" si="8"/>
        <v>0</v>
      </c>
      <c r="O27" s="72">
        <f t="shared" si="8"/>
        <v>0</v>
      </c>
      <c r="P27" s="73">
        <f t="shared" si="8"/>
        <v>0</v>
      </c>
      <c r="Q27" s="73">
        <f t="shared" si="8"/>
        <v>0</v>
      </c>
      <c r="R27" s="74">
        <f>SUM(K27:P27)</f>
        <v>0</v>
      </c>
    </row>
    <row r="28" spans="1:21" ht="18">
      <c r="A28" s="75"/>
      <c r="B28" s="75"/>
      <c r="C28" s="75"/>
      <c r="D28" s="76"/>
      <c r="E28" s="76"/>
      <c r="F28" s="77"/>
      <c r="G28" s="77"/>
      <c r="H28" s="77"/>
      <c r="I28" s="3"/>
      <c r="J28" s="3"/>
      <c r="K28" s="3"/>
      <c r="L28" s="78"/>
      <c r="M28" s="78"/>
      <c r="N28" s="3"/>
      <c r="O28" s="3"/>
      <c r="P28" s="3"/>
      <c r="Q28" s="3"/>
      <c r="R28" s="3"/>
      <c r="S28" s="3"/>
      <c r="T28" s="3"/>
      <c r="U28" s="79"/>
    </row>
    <row r="29" spans="1:21" ht="18">
      <c r="A29" s="215" t="s">
        <v>43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7"/>
    </row>
    <row r="30" spans="1:21" ht="23.25">
      <c r="A30" s="218" t="str">
        <f>D11</f>
        <v>262VB071</v>
      </c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19"/>
      <c r="R30" s="219"/>
      <c r="S30" s="219"/>
      <c r="T30" s="220"/>
    </row>
    <row r="31" spans="1:21" ht="23.25">
      <c r="A31" s="218" t="str">
        <f>E11</f>
        <v>VEYLIN</v>
      </c>
      <c r="B31" s="219"/>
      <c r="C31" s="219"/>
      <c r="D31" s="219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19"/>
      <c r="R31" s="219"/>
      <c r="S31" s="219"/>
      <c r="T31" s="220"/>
    </row>
    <row r="32" spans="1:21" ht="19.5" customHeight="1">
      <c r="A32" s="224"/>
      <c r="B32" s="225"/>
      <c r="C32" s="225"/>
      <c r="D32" s="226"/>
      <c r="E32" s="224"/>
      <c r="F32" s="225"/>
      <c r="G32" s="225"/>
      <c r="H32" s="225"/>
      <c r="I32" s="225"/>
      <c r="J32" s="224"/>
      <c r="K32" s="225"/>
      <c r="L32" s="225"/>
      <c r="M32" s="225"/>
      <c r="N32" s="225"/>
      <c r="O32" s="225"/>
      <c r="P32" s="224"/>
      <c r="Q32" s="225"/>
      <c r="R32" s="225"/>
      <c r="S32" s="225"/>
      <c r="T32" s="226"/>
    </row>
    <row r="33" spans="1:21" ht="19.5" customHeight="1">
      <c r="A33" s="227"/>
      <c r="B33" s="169"/>
      <c r="C33" s="169"/>
      <c r="D33" s="170"/>
      <c r="E33" s="227"/>
      <c r="F33" s="169"/>
      <c r="G33" s="169"/>
      <c r="H33" s="169"/>
      <c r="I33" s="169"/>
      <c r="J33" s="227"/>
      <c r="K33" s="169"/>
      <c r="L33" s="169"/>
      <c r="M33" s="169"/>
      <c r="N33" s="169"/>
      <c r="O33" s="169"/>
      <c r="P33" s="227"/>
      <c r="Q33" s="169"/>
      <c r="R33" s="169"/>
      <c r="S33" s="169"/>
      <c r="T33" s="170"/>
    </row>
    <row r="34" spans="1:21" ht="19.5" customHeight="1">
      <c r="A34" s="227"/>
      <c r="B34" s="169"/>
      <c r="C34" s="169"/>
      <c r="D34" s="170"/>
      <c r="E34" s="227"/>
      <c r="F34" s="169"/>
      <c r="G34" s="169"/>
      <c r="H34" s="169"/>
      <c r="I34" s="169"/>
      <c r="J34" s="227"/>
      <c r="K34" s="169"/>
      <c r="L34" s="169"/>
      <c r="M34" s="169"/>
      <c r="N34" s="169"/>
      <c r="O34" s="169"/>
      <c r="P34" s="227"/>
      <c r="Q34" s="169"/>
      <c r="R34" s="169"/>
      <c r="S34" s="169"/>
      <c r="T34" s="170"/>
      <c r="U34" s="80" t="s">
        <v>44</v>
      </c>
    </row>
    <row r="35" spans="1:21" ht="19.5" customHeight="1">
      <c r="A35" s="227"/>
      <c r="B35" s="169"/>
      <c r="C35" s="169"/>
      <c r="D35" s="170"/>
      <c r="E35" s="227"/>
      <c r="F35" s="169"/>
      <c r="G35" s="169"/>
      <c r="H35" s="169"/>
      <c r="I35" s="169"/>
      <c r="J35" s="227"/>
      <c r="K35" s="169"/>
      <c r="L35" s="169"/>
      <c r="M35" s="169"/>
      <c r="N35" s="169"/>
      <c r="O35" s="169"/>
      <c r="P35" s="227"/>
      <c r="Q35" s="169"/>
      <c r="R35" s="169"/>
      <c r="S35" s="169"/>
      <c r="T35" s="170"/>
      <c r="U35" s="80" t="s">
        <v>45</v>
      </c>
    </row>
    <row r="36" spans="1:21" ht="19.5" customHeight="1">
      <c r="A36" s="227"/>
      <c r="B36" s="169"/>
      <c r="C36" s="169"/>
      <c r="D36" s="170"/>
      <c r="E36" s="227"/>
      <c r="F36" s="169"/>
      <c r="G36" s="169"/>
      <c r="H36" s="169"/>
      <c r="I36" s="169"/>
      <c r="J36" s="227"/>
      <c r="K36" s="169"/>
      <c r="L36" s="169"/>
      <c r="M36" s="169"/>
      <c r="N36" s="169"/>
      <c r="O36" s="169"/>
      <c r="P36" s="227"/>
      <c r="Q36" s="169"/>
      <c r="R36" s="169"/>
      <c r="S36" s="169"/>
      <c r="T36" s="170"/>
    </row>
    <row r="37" spans="1:21" ht="19.5" customHeight="1">
      <c r="A37" s="227"/>
      <c r="B37" s="169"/>
      <c r="C37" s="169"/>
      <c r="D37" s="170"/>
      <c r="E37" s="227"/>
      <c r="F37" s="169"/>
      <c r="G37" s="169"/>
      <c r="H37" s="169"/>
      <c r="I37" s="169"/>
      <c r="J37" s="227"/>
      <c r="K37" s="169"/>
      <c r="L37" s="169"/>
      <c r="M37" s="169"/>
      <c r="N37" s="169"/>
      <c r="O37" s="169"/>
      <c r="P37" s="227"/>
      <c r="Q37" s="169"/>
      <c r="R37" s="169"/>
      <c r="S37" s="169"/>
      <c r="T37" s="170"/>
    </row>
    <row r="38" spans="1:21" ht="19.5" customHeight="1">
      <c r="A38" s="227"/>
      <c r="B38" s="169"/>
      <c r="C38" s="169"/>
      <c r="D38" s="170"/>
      <c r="E38" s="227"/>
      <c r="F38" s="169"/>
      <c r="G38" s="169"/>
      <c r="H38" s="169"/>
      <c r="I38" s="169"/>
      <c r="J38" s="227"/>
      <c r="K38" s="169"/>
      <c r="L38" s="169"/>
      <c r="M38" s="169"/>
      <c r="N38" s="169"/>
      <c r="O38" s="169"/>
      <c r="P38" s="227"/>
      <c r="Q38" s="169"/>
      <c r="R38" s="169"/>
      <c r="S38" s="169"/>
      <c r="T38" s="170"/>
    </row>
    <row r="39" spans="1:21" ht="19.5" customHeight="1">
      <c r="A39" s="228"/>
      <c r="B39" s="229"/>
      <c r="C39" s="229"/>
      <c r="D39" s="230"/>
      <c r="E39" s="228"/>
      <c r="F39" s="229"/>
      <c r="G39" s="229"/>
      <c r="H39" s="229"/>
      <c r="I39" s="229"/>
      <c r="J39" s="228"/>
      <c r="K39" s="229"/>
      <c r="L39" s="229"/>
      <c r="M39" s="229"/>
      <c r="N39" s="229"/>
      <c r="O39" s="229"/>
      <c r="P39" s="228"/>
      <c r="Q39" s="229"/>
      <c r="R39" s="229"/>
      <c r="S39" s="229"/>
      <c r="T39" s="230"/>
    </row>
    <row r="40" spans="1:21" ht="19.5" customHeight="1">
      <c r="A40" s="221" t="str">
        <f>F11</f>
        <v>BLACK</v>
      </c>
      <c r="B40" s="222"/>
      <c r="C40" s="222"/>
      <c r="D40" s="222"/>
      <c r="E40" s="221" t="str">
        <f>F12</f>
        <v>BEIGE</v>
      </c>
      <c r="F40" s="222"/>
      <c r="G40" s="222"/>
      <c r="H40" s="222"/>
      <c r="I40" s="223"/>
      <c r="J40" s="222">
        <f>F13</f>
        <v>0</v>
      </c>
      <c r="K40" s="222"/>
      <c r="L40" s="222"/>
      <c r="M40" s="222"/>
      <c r="N40" s="222"/>
      <c r="O40" s="222"/>
      <c r="P40" s="221">
        <f>F14</f>
        <v>0</v>
      </c>
      <c r="Q40" s="222"/>
      <c r="R40" s="222"/>
      <c r="S40" s="222"/>
      <c r="T40" s="223"/>
    </row>
    <row r="41" spans="1:21" ht="19.5" customHeight="1">
      <c r="A41" s="197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9"/>
    </row>
    <row r="42" spans="1:21" ht="19.5" customHeight="1">
      <c r="A42" s="200" t="s">
        <v>46</v>
      </c>
      <c r="B42" s="201"/>
      <c r="C42" s="201"/>
      <c r="D42" s="202"/>
      <c r="E42" s="203" t="s">
        <v>47</v>
      </c>
      <c r="F42" s="204"/>
      <c r="G42" s="204"/>
      <c r="H42" s="204"/>
      <c r="I42" s="204"/>
      <c r="J42" s="200" t="s">
        <v>48</v>
      </c>
      <c r="K42" s="201"/>
      <c r="L42" s="201"/>
      <c r="M42" s="202"/>
      <c r="N42" s="205" t="s">
        <v>49</v>
      </c>
      <c r="O42" s="206"/>
      <c r="P42" s="206"/>
      <c r="Q42" s="206"/>
      <c r="R42" s="205" t="s">
        <v>50</v>
      </c>
      <c r="S42" s="206"/>
      <c r="T42" s="207"/>
    </row>
    <row r="43" spans="1:21" ht="19.5" customHeight="1">
      <c r="A43" s="208" t="s">
        <v>51</v>
      </c>
      <c r="B43" s="209"/>
      <c r="C43" s="209"/>
      <c r="D43" s="210"/>
      <c r="E43" s="208" t="s">
        <v>52</v>
      </c>
      <c r="F43" s="209"/>
      <c r="G43" s="209"/>
      <c r="H43" s="209"/>
      <c r="I43" s="209"/>
      <c r="J43" s="208" t="s">
        <v>53</v>
      </c>
      <c r="K43" s="209"/>
      <c r="L43" s="209"/>
      <c r="M43" s="210"/>
      <c r="N43" s="213" t="s">
        <v>54</v>
      </c>
      <c r="O43" s="214"/>
      <c r="P43" s="214"/>
      <c r="Q43" s="214"/>
      <c r="R43" s="208"/>
      <c r="S43" s="209"/>
      <c r="T43" s="210"/>
    </row>
    <row r="44" spans="1:21" ht="19.5" customHeight="1">
      <c r="A44" s="81"/>
      <c r="B44" s="82"/>
      <c r="C44" s="82"/>
      <c r="D44" s="83"/>
      <c r="E44" s="84"/>
      <c r="F44" s="85"/>
      <c r="G44" s="85"/>
      <c r="H44" s="85"/>
      <c r="I44" s="85"/>
      <c r="J44" s="86"/>
      <c r="K44" s="82"/>
      <c r="L44" s="82"/>
      <c r="M44" s="83"/>
      <c r="N44" s="87"/>
      <c r="O44" s="85"/>
      <c r="P44" s="85"/>
      <c r="Q44" s="88"/>
      <c r="R44" s="87"/>
      <c r="S44" s="85"/>
      <c r="T44" s="89"/>
    </row>
    <row r="45" spans="1:21" ht="19.5" customHeight="1">
      <c r="A45" s="81"/>
      <c r="B45" s="82"/>
      <c r="C45" s="82"/>
      <c r="D45" s="83"/>
      <c r="E45" s="81"/>
      <c r="F45" s="82"/>
      <c r="G45" s="82"/>
      <c r="H45" s="82"/>
      <c r="I45" s="82"/>
      <c r="J45" s="90"/>
      <c r="K45" s="82"/>
      <c r="L45" s="82"/>
      <c r="M45" s="83"/>
      <c r="N45" s="81"/>
      <c r="O45" s="82"/>
      <c r="P45" s="82"/>
      <c r="Q45" s="91"/>
      <c r="R45" s="81"/>
      <c r="S45" s="82"/>
      <c r="T45" s="92"/>
    </row>
    <row r="46" spans="1:21" ht="19.5" customHeight="1">
      <c r="A46" s="81"/>
      <c r="B46" s="82"/>
      <c r="C46" s="82"/>
      <c r="D46" s="83"/>
      <c r="E46" s="81"/>
      <c r="F46" s="82"/>
      <c r="G46" s="82"/>
      <c r="H46" s="82"/>
      <c r="I46" s="82"/>
      <c r="J46" s="90"/>
      <c r="K46" s="82"/>
      <c r="L46" s="82"/>
      <c r="M46" s="83"/>
      <c r="N46" s="81"/>
      <c r="O46" s="82"/>
      <c r="P46" s="82"/>
      <c r="Q46" s="91"/>
      <c r="R46" s="81"/>
      <c r="S46" s="82"/>
      <c r="T46" s="92"/>
    </row>
    <row r="47" spans="1:21" ht="19.5" customHeight="1">
      <c r="A47" s="81"/>
      <c r="B47" s="82"/>
      <c r="C47" s="82"/>
      <c r="D47" s="83"/>
      <c r="E47" s="81"/>
      <c r="F47" s="82"/>
      <c r="G47" s="82"/>
      <c r="H47" s="82"/>
      <c r="I47" s="82"/>
      <c r="J47" s="90"/>
      <c r="K47" s="82"/>
      <c r="L47" s="82"/>
      <c r="M47" s="83"/>
      <c r="N47" s="81"/>
      <c r="O47" s="82"/>
      <c r="P47" s="82"/>
      <c r="Q47" s="91"/>
      <c r="R47" s="81"/>
      <c r="S47" s="82"/>
      <c r="T47" s="92"/>
    </row>
    <row r="48" spans="1:21" ht="19.5" customHeight="1">
      <c r="A48" s="81"/>
      <c r="B48" s="82"/>
      <c r="C48" s="82"/>
      <c r="D48" s="83"/>
      <c r="E48" s="93"/>
      <c r="F48" s="94"/>
      <c r="G48" s="94"/>
      <c r="H48" s="94"/>
      <c r="I48" s="82"/>
      <c r="J48" s="90"/>
      <c r="K48" s="82"/>
      <c r="L48" s="82"/>
      <c r="M48" s="83"/>
      <c r="N48" s="81"/>
      <c r="O48" s="82"/>
      <c r="P48" s="82"/>
      <c r="Q48" s="91"/>
      <c r="R48" s="81"/>
      <c r="S48" s="82"/>
      <c r="T48" s="92"/>
    </row>
    <row r="49" spans="1:20" ht="19.5" customHeight="1">
      <c r="A49" s="81"/>
      <c r="B49" s="82"/>
      <c r="C49" s="82"/>
      <c r="D49" s="83"/>
      <c r="E49" s="95"/>
      <c r="F49" s="96"/>
      <c r="G49" s="96"/>
      <c r="H49" s="96"/>
      <c r="I49" s="82"/>
      <c r="J49" s="90"/>
      <c r="K49" s="82"/>
      <c r="L49" s="82"/>
      <c r="M49" s="83"/>
      <c r="N49" s="81"/>
      <c r="O49" s="82"/>
      <c r="P49" s="82"/>
      <c r="Q49" s="97"/>
      <c r="R49" s="98"/>
      <c r="S49" s="99"/>
      <c r="T49" s="92"/>
    </row>
    <row r="50" spans="1:20" ht="19.5" customHeight="1">
      <c r="A50" s="81"/>
      <c r="B50" s="82"/>
      <c r="C50" s="82"/>
      <c r="D50" s="83"/>
      <c r="E50" s="95"/>
      <c r="F50" s="96"/>
      <c r="G50" s="96"/>
      <c r="H50" s="96"/>
      <c r="I50" s="82"/>
      <c r="J50" s="90"/>
      <c r="K50" s="82"/>
      <c r="L50" s="82"/>
      <c r="M50" s="83"/>
      <c r="N50" s="81"/>
      <c r="O50" s="82"/>
      <c r="P50" s="82"/>
      <c r="Q50" s="97"/>
      <c r="R50" s="98"/>
      <c r="S50" s="99"/>
      <c r="T50" s="92"/>
    </row>
    <row r="51" spans="1:20" ht="19.5" customHeight="1">
      <c r="A51" s="81"/>
      <c r="B51" s="82"/>
      <c r="C51" s="82"/>
      <c r="D51" s="83"/>
      <c r="E51" s="95"/>
      <c r="F51" s="96"/>
      <c r="G51" s="96"/>
      <c r="H51" s="96"/>
      <c r="I51" s="82"/>
      <c r="J51" s="194" t="s">
        <v>55</v>
      </c>
      <c r="K51" s="195"/>
      <c r="L51" s="195"/>
      <c r="M51" s="196"/>
      <c r="N51" s="100"/>
      <c r="O51" s="82"/>
      <c r="P51" s="82"/>
      <c r="Q51" s="97"/>
      <c r="R51" s="98"/>
      <c r="S51" s="99"/>
      <c r="T51" s="92"/>
    </row>
    <row r="52" spans="1:20" ht="19.5" customHeight="1">
      <c r="A52" s="81"/>
      <c r="B52" s="82"/>
      <c r="C52" s="82"/>
      <c r="D52" s="83"/>
      <c r="E52" s="95"/>
      <c r="F52" s="96"/>
      <c r="G52" s="96"/>
      <c r="H52" s="96"/>
      <c r="I52" s="82"/>
      <c r="J52" s="90"/>
      <c r="K52" s="82"/>
      <c r="L52" s="82"/>
      <c r="M52" s="83"/>
      <c r="N52" s="81"/>
      <c r="O52" s="82"/>
      <c r="P52" s="82"/>
      <c r="Q52" s="97"/>
      <c r="R52" s="98"/>
      <c r="S52" s="99"/>
      <c r="T52" s="92"/>
    </row>
    <row r="53" spans="1:20" ht="19.5" customHeight="1">
      <c r="A53" s="81"/>
      <c r="B53" s="82"/>
      <c r="C53" s="82"/>
      <c r="D53" s="83"/>
      <c r="E53" s="95"/>
      <c r="F53" s="96"/>
      <c r="G53" s="96"/>
      <c r="H53" s="96"/>
      <c r="I53" s="82"/>
      <c r="J53" s="90"/>
      <c r="K53" s="82"/>
      <c r="L53" s="82"/>
      <c r="M53" s="83"/>
      <c r="N53" s="81"/>
      <c r="O53" s="82"/>
      <c r="P53" s="82"/>
      <c r="Q53" s="97"/>
      <c r="R53" s="98"/>
      <c r="S53" s="99"/>
      <c r="T53" s="92"/>
    </row>
    <row r="54" spans="1:20" ht="19.5" customHeight="1">
      <c r="A54" s="81"/>
      <c r="B54" s="82"/>
      <c r="C54" s="82"/>
      <c r="D54" s="83"/>
      <c r="E54" s="95"/>
      <c r="F54" s="96"/>
      <c r="G54" s="96"/>
      <c r="H54" s="96"/>
      <c r="I54" s="82"/>
      <c r="J54" s="90"/>
      <c r="K54" s="82"/>
      <c r="L54" s="82"/>
      <c r="M54" s="83"/>
      <c r="N54" s="81"/>
      <c r="O54" s="82"/>
      <c r="P54" s="82"/>
      <c r="Q54" s="97"/>
      <c r="R54" s="98"/>
      <c r="S54" s="99"/>
      <c r="T54" s="92"/>
    </row>
    <row r="55" spans="1:20" ht="19.5" customHeight="1">
      <c r="A55" s="81"/>
      <c r="B55" s="82"/>
      <c r="C55" s="82"/>
      <c r="D55" s="83"/>
      <c r="E55" s="95"/>
      <c r="F55" s="96"/>
      <c r="G55" s="96"/>
      <c r="H55" s="96"/>
      <c r="I55" s="82"/>
      <c r="J55" s="90"/>
      <c r="K55" s="82"/>
      <c r="L55" s="82"/>
      <c r="M55" s="83"/>
      <c r="N55" s="81"/>
      <c r="O55" s="82"/>
      <c r="P55" s="82"/>
      <c r="Q55" s="97"/>
      <c r="R55" s="98"/>
      <c r="S55" s="99"/>
      <c r="T55" s="92"/>
    </row>
    <row r="56" spans="1:20" ht="19.5" customHeight="1">
      <c r="A56" s="81"/>
      <c r="B56" s="82"/>
      <c r="C56" s="82"/>
      <c r="D56" s="83"/>
      <c r="E56" s="95"/>
      <c r="F56" s="96"/>
      <c r="G56" s="96"/>
      <c r="H56" s="96"/>
      <c r="I56" s="82"/>
      <c r="J56" s="90"/>
      <c r="K56" s="82"/>
      <c r="L56" s="82"/>
      <c r="M56" s="83"/>
      <c r="N56" s="81"/>
      <c r="O56" s="82"/>
      <c r="P56" s="82"/>
      <c r="Q56" s="97"/>
      <c r="R56" s="98"/>
      <c r="S56" s="99"/>
      <c r="T56" s="92"/>
    </row>
    <row r="57" spans="1:20" ht="19.5" customHeight="1">
      <c r="A57" s="81"/>
      <c r="B57" s="82"/>
      <c r="C57" s="82"/>
      <c r="D57" s="83"/>
      <c r="E57" s="95"/>
      <c r="F57" s="96"/>
      <c r="G57" s="96"/>
      <c r="H57" s="96"/>
      <c r="I57" s="82"/>
      <c r="J57" s="90"/>
      <c r="K57" s="82"/>
      <c r="L57" s="82"/>
      <c r="M57" s="83"/>
      <c r="N57" s="81"/>
      <c r="O57" s="82"/>
      <c r="P57" s="82"/>
      <c r="Q57" s="97"/>
      <c r="R57" s="98"/>
      <c r="S57" s="99"/>
      <c r="T57" s="92"/>
    </row>
    <row r="58" spans="1:20" ht="19.5" customHeight="1">
      <c r="A58" s="101"/>
      <c r="B58" s="102"/>
      <c r="C58" s="102"/>
      <c r="D58" s="103"/>
      <c r="E58" s="104"/>
      <c r="F58" s="105"/>
      <c r="G58" s="105"/>
      <c r="H58" s="105"/>
      <c r="I58" s="106"/>
      <c r="J58" s="107"/>
      <c r="K58" s="108"/>
      <c r="L58" s="108"/>
      <c r="M58" s="103"/>
      <c r="N58" s="101"/>
      <c r="O58" s="102"/>
      <c r="P58" s="102"/>
      <c r="Q58" s="109"/>
      <c r="R58" s="110"/>
      <c r="S58" s="108"/>
      <c r="T58" s="111"/>
    </row>
  </sheetData>
  <mergeCells count="87">
    <mergeCell ref="A8:C10"/>
    <mergeCell ref="F8:G10"/>
    <mergeCell ref="A11:C12"/>
    <mergeCell ref="D19:E20"/>
    <mergeCell ref="O9:O10"/>
    <mergeCell ref="A17:C17"/>
    <mergeCell ref="F17:G17"/>
    <mergeCell ref="A19:C19"/>
    <mergeCell ref="A20:C20"/>
    <mergeCell ref="A14:C14"/>
    <mergeCell ref="F14:G14"/>
    <mergeCell ref="A15:C15"/>
    <mergeCell ref="R21:R22"/>
    <mergeCell ref="A43:D43"/>
    <mergeCell ref="E43:I43"/>
    <mergeCell ref="J43:M43"/>
    <mergeCell ref="N43:Q43"/>
    <mergeCell ref="A29:T29"/>
    <mergeCell ref="A30:T30"/>
    <mergeCell ref="A31:T31"/>
    <mergeCell ref="A40:D40"/>
    <mergeCell ref="E40:I40"/>
    <mergeCell ref="J40:O40"/>
    <mergeCell ref="P40:T40"/>
    <mergeCell ref="A32:D39"/>
    <mergeCell ref="E32:I39"/>
    <mergeCell ref="J32:O39"/>
    <mergeCell ref="P32:T39"/>
    <mergeCell ref="J51:M51"/>
    <mergeCell ref="A41:T41"/>
    <mergeCell ref="A42:D42"/>
    <mergeCell ref="E42:I42"/>
    <mergeCell ref="J42:M42"/>
    <mergeCell ref="N42:Q42"/>
    <mergeCell ref="R42:T43"/>
    <mergeCell ref="A25:C25"/>
    <mergeCell ref="I25:J25"/>
    <mergeCell ref="A26:C26"/>
    <mergeCell ref="I26:J26"/>
    <mergeCell ref="A27:C27"/>
    <mergeCell ref="D25:E27"/>
    <mergeCell ref="G23:H26"/>
    <mergeCell ref="K21:Q21"/>
    <mergeCell ref="A22:C22"/>
    <mergeCell ref="A23:C23"/>
    <mergeCell ref="I23:J23"/>
    <mergeCell ref="A24:C24"/>
    <mergeCell ref="I24:J24"/>
    <mergeCell ref="D21:E22"/>
    <mergeCell ref="G21:H22"/>
    <mergeCell ref="I21:J22"/>
    <mergeCell ref="D23:E24"/>
    <mergeCell ref="A21:C21"/>
    <mergeCell ref="F15:G15"/>
    <mergeCell ref="A16:C16"/>
    <mergeCell ref="F16:G16"/>
    <mergeCell ref="D6:E6"/>
    <mergeCell ref="I8:O8"/>
    <mergeCell ref="F11:G11"/>
    <mergeCell ref="F12:G12"/>
    <mergeCell ref="A13:C13"/>
    <mergeCell ref="F13:G13"/>
    <mergeCell ref="D8:D9"/>
    <mergeCell ref="E8:E9"/>
    <mergeCell ref="H8:H10"/>
    <mergeCell ref="H11:H17"/>
    <mergeCell ref="I9:I10"/>
    <mergeCell ref="J9:J10"/>
    <mergeCell ref="K9:K10"/>
    <mergeCell ref="L9:L10"/>
    <mergeCell ref="M9:M10"/>
    <mergeCell ref="N9:N10"/>
    <mergeCell ref="I4:L4"/>
    <mergeCell ref="O4:T4"/>
    <mergeCell ref="S8:S9"/>
    <mergeCell ref="P8:P10"/>
    <mergeCell ref="Q8:Q10"/>
    <mergeCell ref="R8:R9"/>
    <mergeCell ref="D5:E5"/>
    <mergeCell ref="I5:L5"/>
    <mergeCell ref="O5:T5"/>
    <mergeCell ref="A1:E1"/>
    <mergeCell ref="O1:T1"/>
    <mergeCell ref="I2:L2"/>
    <mergeCell ref="O2:T2"/>
    <mergeCell ref="I3:L3"/>
    <mergeCell ref="O3:T3"/>
  </mergeCells>
  <printOptions horizontalCentered="1" verticalCentered="1"/>
  <pageMargins left="0.3" right="0.3" top="0.3" bottom="0.3" header="0.3" footer="0.3"/>
  <pageSetup paperSize="9" scale="3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Clereane.Tan</dc:creator>
  <cp:lastModifiedBy>Julius Evan</cp:lastModifiedBy>
  <dcterms:created xsi:type="dcterms:W3CDTF">2026-06-10T08:03:00Z</dcterms:created>
  <dcterms:modified xsi:type="dcterms:W3CDTF">2026-09-15T02:29:30Z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3FF5D20FBA564CCA9547D76101057414_11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